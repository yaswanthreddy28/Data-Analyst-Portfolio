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aiya\Documents\Excel projects\"/>
    </mc:Choice>
  </mc:AlternateContent>
  <xr:revisionPtr revIDLastSave="0" documentId="13_ncr:1_{CF2FC435-2323-44DE-ACF8-3D8FBE20DC7E}" xr6:coauthVersionLast="47" xr6:coauthVersionMax="47" xr10:uidLastSave="{00000000-0000-0000-0000-000000000000}"/>
  <bookViews>
    <workbookView xWindow="-110" yWindow="-110" windowWidth="19420" windowHeight="10300" activeTab="1" xr2:uid="{FD97B295-2493-4089-8578-8D9F5EB5444E}"/>
  </bookViews>
  <sheets>
    <sheet name="Template" sheetId="2" r:id="rId1"/>
    <sheet name="Ja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0" i="2" l="1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AJ18" i="2"/>
  <c r="AI18" i="2"/>
  <c r="AK18" i="2" s="1"/>
  <c r="AJ17" i="2"/>
  <c r="AI17" i="2"/>
  <c r="AK17" i="2" s="1"/>
  <c r="AJ16" i="2"/>
  <c r="AI16" i="2"/>
  <c r="AK16" i="2" s="1"/>
  <c r="AJ15" i="2"/>
  <c r="AI15" i="2"/>
  <c r="AK15" i="2" s="1"/>
  <c r="AK14" i="2"/>
  <c r="AJ14" i="2"/>
  <c r="AI14" i="2"/>
  <c r="AJ13" i="2"/>
  <c r="AI13" i="2"/>
  <c r="AK13" i="2" s="1"/>
  <c r="AJ12" i="2"/>
  <c r="AI12" i="2"/>
  <c r="AK12" i="2" s="1"/>
  <c r="AJ11" i="2"/>
  <c r="AI11" i="2"/>
  <c r="AK11" i="2" s="1"/>
  <c r="AK10" i="2"/>
  <c r="AJ10" i="2"/>
  <c r="AI10" i="2"/>
  <c r="AJ9" i="2"/>
  <c r="AI9" i="2"/>
  <c r="AK9" i="2" s="1"/>
  <c r="C8" i="2" a="1"/>
  <c r="C8" i="2" s="1"/>
  <c r="L5" i="2"/>
  <c r="A2" i="2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C20" i="1"/>
  <c r="L5" i="1"/>
  <c r="AJ10" i="1"/>
  <c r="AJ11" i="1"/>
  <c r="AJ12" i="1"/>
  <c r="AJ13" i="1"/>
  <c r="AJ14" i="1"/>
  <c r="AJ15" i="1"/>
  <c r="AJ16" i="1"/>
  <c r="AJ17" i="1"/>
  <c r="AJ18" i="1"/>
  <c r="AJ9" i="1"/>
  <c r="AI10" i="1"/>
  <c r="AI11" i="1"/>
  <c r="AI12" i="1"/>
  <c r="AK12" i="1" s="1"/>
  <c r="AI13" i="1"/>
  <c r="AI14" i="1"/>
  <c r="AI15" i="1"/>
  <c r="AI16" i="1"/>
  <c r="AI17" i="1"/>
  <c r="AI18" i="1"/>
  <c r="AI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C19" i="1"/>
  <c r="C8" i="1" a="1"/>
  <c r="C8" i="1" s="1"/>
  <c r="A2" i="1"/>
  <c r="AL14" i="2" l="1"/>
  <c r="AL15" i="2"/>
  <c r="AL10" i="2"/>
  <c r="AL16" i="2"/>
  <c r="AL11" i="2"/>
  <c r="AL12" i="2"/>
  <c r="AL17" i="2"/>
  <c r="AL9" i="2"/>
  <c r="AL13" i="2"/>
  <c r="AL18" i="2"/>
  <c r="AL12" i="1"/>
  <c r="AK16" i="1"/>
  <c r="AL16" i="1" s="1"/>
  <c r="AK11" i="1"/>
  <c r="AL11" i="1" s="1"/>
  <c r="AK10" i="1"/>
  <c r="AL10" i="1" s="1"/>
  <c r="AK18" i="1"/>
  <c r="AL18" i="1" s="1"/>
  <c r="AK17" i="1"/>
  <c r="AL17" i="1" s="1"/>
  <c r="AK15" i="1"/>
  <c r="AL15" i="1" s="1"/>
  <c r="AK14" i="1"/>
  <c r="AL14" i="1" s="1"/>
  <c r="AK13" i="1"/>
  <c r="AL13" i="1" s="1"/>
  <c r="AK9" i="1"/>
  <c r="AL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<sst xmlns="http://schemas.openxmlformats.org/spreadsheetml/2006/main" count="38" uniqueCount="19">
  <si>
    <t>Start Date</t>
  </si>
  <si>
    <t xml:space="preserve">                         Date
Habits</t>
  </si>
  <si>
    <t>Achieved</t>
  </si>
  <si>
    <t>Total</t>
  </si>
  <si>
    <t>Missed</t>
  </si>
  <si>
    <t>Summary</t>
  </si>
  <si>
    <t>Total Achieved</t>
  </si>
  <si>
    <t>Note: Use 1 for Completed and 0 for Missed</t>
  </si>
  <si>
    <t>% Achieved</t>
  </si>
  <si>
    <r>
      <rPr>
        <b/>
        <sz val="12"/>
        <color theme="1"/>
        <rFont val="Aptos Narrow"/>
        <family val="2"/>
        <scheme val="minor"/>
      </rPr>
      <t>Wake Up at 5:00 AM</t>
    </r>
    <r>
      <rPr>
        <sz val="12"/>
        <color theme="1"/>
        <rFont val="Aptos Narrow"/>
        <family val="2"/>
        <scheme val="minor"/>
      </rPr>
      <t xml:space="preserve"> ⏱️</t>
    </r>
  </si>
  <si>
    <r>
      <rPr>
        <b/>
        <sz val="12"/>
        <color theme="1"/>
        <rFont val="Aptos Narrow"/>
        <family val="2"/>
        <scheme val="minor"/>
      </rPr>
      <t>Cold Shower</t>
    </r>
    <r>
      <rPr>
        <sz val="12"/>
        <color theme="1"/>
        <rFont val="Aptos Narrow"/>
        <family val="2"/>
        <scheme val="minor"/>
      </rPr>
      <t xml:space="preserve"> 🚿</t>
    </r>
  </si>
  <si>
    <r>
      <rPr>
        <b/>
        <sz val="12"/>
        <color theme="1"/>
        <rFont val="Aptos Narrow"/>
        <family val="2"/>
        <scheme val="minor"/>
      </rPr>
      <t>Gym</t>
    </r>
    <r>
      <rPr>
        <sz val="12"/>
        <color theme="1"/>
        <rFont val="Aptos Narrow"/>
        <family val="2"/>
        <scheme val="minor"/>
      </rPr>
      <t xml:space="preserve"> 💪</t>
    </r>
  </si>
  <si>
    <r>
      <rPr>
        <b/>
        <sz val="12"/>
        <color theme="1"/>
        <rFont val="Aptos Narrow"/>
        <family val="2"/>
        <scheme val="minor"/>
      </rPr>
      <t>Breakfast</t>
    </r>
    <r>
      <rPr>
        <sz val="12"/>
        <color theme="1"/>
        <rFont val="Aptos Narrow"/>
        <family val="2"/>
        <scheme val="minor"/>
      </rPr>
      <t xml:space="preserve"> 🍳</t>
    </r>
  </si>
  <si>
    <r>
      <rPr>
        <b/>
        <sz val="12"/>
        <color theme="1"/>
        <rFont val="Aptos Narrow"/>
        <family val="2"/>
        <scheme val="minor"/>
      </rPr>
      <t xml:space="preserve">Reading  </t>
    </r>
    <r>
      <rPr>
        <sz val="12"/>
        <color theme="1"/>
        <rFont val="Aptos Narrow"/>
        <family val="2"/>
        <scheme val="minor"/>
      </rPr>
      <t>📚</t>
    </r>
  </si>
  <si>
    <r>
      <rPr>
        <b/>
        <sz val="12"/>
        <color theme="1"/>
        <rFont val="Aptos Narrow"/>
        <family val="2"/>
        <scheme val="minor"/>
      </rPr>
      <t>Lunch</t>
    </r>
    <r>
      <rPr>
        <sz val="12"/>
        <color theme="1"/>
        <rFont val="Aptos Narrow"/>
        <family val="2"/>
        <scheme val="minor"/>
      </rPr>
      <t xml:space="preserve"> 🍜</t>
    </r>
  </si>
  <si>
    <r>
      <rPr>
        <b/>
        <sz val="12"/>
        <color theme="1"/>
        <rFont val="Aptos Narrow"/>
        <family val="2"/>
        <scheme val="minor"/>
      </rPr>
      <t xml:space="preserve">Reading </t>
    </r>
    <r>
      <rPr>
        <sz val="12"/>
        <color theme="1"/>
        <rFont val="Aptos Narrow"/>
        <family val="2"/>
        <scheme val="minor"/>
      </rPr>
      <t>💻</t>
    </r>
  </si>
  <si>
    <r>
      <rPr>
        <b/>
        <sz val="12"/>
        <color theme="1"/>
        <rFont val="Aptos Narrow"/>
        <family val="2"/>
        <scheme val="minor"/>
      </rPr>
      <t>Evening Walk</t>
    </r>
    <r>
      <rPr>
        <sz val="12"/>
        <color theme="1"/>
        <rFont val="Aptos Narrow"/>
        <family val="2"/>
        <scheme val="minor"/>
      </rPr>
      <t xml:space="preserve"> 🚶</t>
    </r>
  </si>
  <si>
    <r>
      <rPr>
        <b/>
        <sz val="12"/>
        <color theme="1"/>
        <rFont val="Aptos Narrow"/>
        <family val="2"/>
        <scheme val="minor"/>
      </rPr>
      <t>Family Time</t>
    </r>
    <r>
      <rPr>
        <sz val="12"/>
        <color theme="1"/>
        <rFont val="Aptos Narrow"/>
        <family val="2"/>
        <scheme val="minor"/>
      </rPr>
      <t xml:space="preserve"> 👪</t>
    </r>
  </si>
  <si>
    <r>
      <rPr>
        <b/>
        <sz val="12"/>
        <color theme="1"/>
        <rFont val="Aptos Narrow"/>
        <family val="2"/>
        <scheme val="minor"/>
      </rPr>
      <t>Sleep by 10:00 PM</t>
    </r>
    <r>
      <rPr>
        <sz val="12"/>
        <color theme="1"/>
        <rFont val="Aptos Narrow"/>
        <family val="2"/>
        <scheme val="minor"/>
      </rPr>
      <t xml:space="preserve"> 💤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</si>
</sst>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i/>
      <sz val="14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26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ck">
        <color theme="1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2" xfId="0" applyBorder="1"/>
    <xf numFmtId="0" fontId="1" fillId="0" borderId="2" xfId="0" applyFont="1" applyBorder="1"/>
    <xf numFmtId="0" fontId="3" fillId="0" borderId="2" xfId="0" applyFont="1" applyBorder="1"/>
    <xf numFmtId="0" fontId="0" fillId="0" borderId="2" xfId="0" applyBorder="1" applyAlignment="1">
      <alignment horizontal="center" vertical="center"/>
    </xf>
    <xf numFmtId="0" fontId="1" fillId="2" borderId="2" xfId="0" applyFont="1" applyFill="1" applyBorder="1"/>
    <xf numFmtId="14" fontId="1" fillId="2" borderId="2" xfId="0" applyNumberFormat="1" applyFont="1" applyFill="1" applyBorder="1"/>
    <xf numFmtId="0" fontId="5" fillId="3" borderId="1" xfId="0" applyFont="1" applyFill="1" applyBorder="1" applyAlignment="1">
      <alignment wrapText="1"/>
    </xf>
    <xf numFmtId="0" fontId="6" fillId="3" borderId="2" xfId="0" applyFont="1" applyFill="1" applyBorder="1"/>
    <xf numFmtId="0" fontId="2" fillId="0" borderId="0" xfId="0" applyFont="1"/>
    <xf numFmtId="9" fontId="0" fillId="0" borderId="2" xfId="0" applyNumberFormat="1" applyBorder="1"/>
    <xf numFmtId="164" fontId="5" fillId="3" borderId="2" xfId="0" applyNumberFormat="1" applyFont="1" applyFill="1" applyBorder="1"/>
    <xf numFmtId="0" fontId="8" fillId="0" borderId="2" xfId="0" applyFont="1" applyBorder="1"/>
    <xf numFmtId="0" fontId="4" fillId="2" borderId="2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630104380807779E-2"/>
          <c:y val="0.1225117269399794"/>
          <c:w val="0.97444136712258356"/>
          <c:h val="0.81130164098190416"/>
        </c:manualLayout>
      </c:layout>
      <c:lineChart>
        <c:grouping val="standard"/>
        <c:varyColors val="0"/>
        <c:ser>
          <c:idx val="11"/>
          <c:order val="0"/>
          <c:tx>
            <c:strRef>
              <c:f>Template!$B$19</c:f>
              <c:strCache>
                <c:ptCount val="1"/>
                <c:pt idx="0">
                  <c:v>Total Achieved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9"/>
            <c:spPr>
              <a:solidFill>
                <a:schemeClr val="accent2"/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Template!$C$19:$AG$19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A5-4309-AD47-E40A5BD3737D}"/>
            </c:ext>
          </c:extLst>
        </c:ser>
        <c:ser>
          <c:idx val="0"/>
          <c:order val="1"/>
          <c:tx>
            <c:v>Target</c:v>
          </c:tx>
          <c:spPr>
            <a:ln w="28575" cap="rnd">
              <a:solidFill>
                <a:schemeClr val="tx1">
                  <a:lumMod val="95000"/>
                  <a:lumOff val="5000"/>
                  <a:alpha val="51000"/>
                </a:schemeClr>
              </a:solidFill>
              <a:prstDash val="sysDot"/>
              <a:round/>
              <a:headEnd type="none"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Template!$C$20:$AG$20</c:f>
              <c:numCache>
                <c:formatCode>General</c:formatCode>
                <c:ptCount val="3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5-4309-AD47-E40A5BD3737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52223887"/>
        <c:axId val="1052222927"/>
      </c:lineChart>
      <c:catAx>
        <c:axId val="1052223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222927"/>
        <c:crosses val="autoZero"/>
        <c:auto val="1"/>
        <c:lblAlgn val="ctr"/>
        <c:lblOffset val="100"/>
        <c:noMultiLvlLbl val="0"/>
      </c:catAx>
      <c:valAx>
        <c:axId val="1052222927"/>
        <c:scaling>
          <c:orientation val="minMax"/>
          <c:max val="10"/>
        </c:scaling>
        <c:delete val="1"/>
        <c:axPos val="l"/>
        <c:numFmt formatCode="General" sourceLinked="1"/>
        <c:majorTickMark val="none"/>
        <c:minorTickMark val="none"/>
        <c:tickLblPos val="nextTo"/>
        <c:crossAx val="105222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630104380807779E-2"/>
          <c:y val="0.1225117269399794"/>
          <c:w val="0.97444136712258356"/>
          <c:h val="0.81130164098190416"/>
        </c:manualLayout>
      </c:layout>
      <c:lineChart>
        <c:grouping val="standard"/>
        <c:varyColors val="0"/>
        <c:ser>
          <c:idx val="11"/>
          <c:order val="0"/>
          <c:tx>
            <c:strRef>
              <c:f>Jan!$B$19</c:f>
              <c:strCache>
                <c:ptCount val="1"/>
                <c:pt idx="0">
                  <c:v>Total Achieved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9"/>
            <c:spPr>
              <a:solidFill>
                <a:schemeClr val="accent2"/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Jan!$C$19:$AG$19</c:f>
              <c:numCache>
                <c:formatCode>General</c:formatCode>
                <c:ptCount val="31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0</c:v>
                </c:pt>
                <c:pt idx="4">
                  <c:v>5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10</c:v>
                </c:pt>
                <c:pt idx="10">
                  <c:v>8</c:v>
                </c:pt>
                <c:pt idx="11">
                  <c:v>2</c:v>
                </c:pt>
                <c:pt idx="12">
                  <c:v>2</c:v>
                </c:pt>
                <c:pt idx="13">
                  <c:v>9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3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4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3ADC-4C75-AD08-F83AD2D1CE57}"/>
            </c:ext>
          </c:extLst>
        </c:ser>
        <c:ser>
          <c:idx val="0"/>
          <c:order val="1"/>
          <c:tx>
            <c:v>Target</c:v>
          </c:tx>
          <c:spPr>
            <a:ln w="28575" cap="rnd">
              <a:solidFill>
                <a:schemeClr val="tx1">
                  <a:lumMod val="95000"/>
                  <a:lumOff val="5000"/>
                  <a:alpha val="51000"/>
                </a:schemeClr>
              </a:solidFill>
              <a:prstDash val="sysDot"/>
              <a:round/>
              <a:headEnd type="none"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Jan!$C$20:$AG$20</c:f>
              <c:numCache>
                <c:formatCode>General</c:formatCode>
                <c:ptCount val="3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ADC-4C75-AD08-F83AD2D1CE5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52223887"/>
        <c:axId val="1052222927"/>
      </c:lineChart>
      <c:catAx>
        <c:axId val="1052223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222927"/>
        <c:crosses val="autoZero"/>
        <c:auto val="1"/>
        <c:lblAlgn val="ctr"/>
        <c:lblOffset val="100"/>
        <c:noMultiLvlLbl val="0"/>
      </c:catAx>
      <c:valAx>
        <c:axId val="1052222927"/>
        <c:scaling>
          <c:orientation val="minMax"/>
          <c:max val="10"/>
        </c:scaling>
        <c:delete val="1"/>
        <c:axPos val="l"/>
        <c:numFmt formatCode="General" sourceLinked="1"/>
        <c:majorTickMark val="none"/>
        <c:minorTickMark val="none"/>
        <c:tickLblPos val="nextTo"/>
        <c:crossAx val="1052223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578134</xdr:colOff>
      <xdr:row>20</xdr:row>
      <xdr:rowOff>168442</xdr:rowOff>
    </xdr:from>
    <xdr:to>
      <xdr:col>33</xdr:col>
      <xdr:colOff>206885</xdr:colOff>
      <xdr:row>43</xdr:row>
      <xdr:rowOff>111293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4BF7C9-9452-4A1D-A42B-EA52EC63B0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578134</xdr:colOff>
      <xdr:row>20</xdr:row>
      <xdr:rowOff>168442</xdr:rowOff>
    </xdr:from>
    <xdr:to>
      <xdr:col>33</xdr:col>
      <xdr:colOff>206885</xdr:colOff>
      <xdr:row>43</xdr:row>
      <xdr:rowOff>111293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6A26EC-02B5-86B1-9157-856DC3DA78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B304-745D-436B-918C-19C81D2B03E8}">
  <dimension ref="A2:AL20"/>
  <sheetViews>
    <sheetView showGridLines="0" zoomScale="70" zoomScaleNormal="70" workbookViewId="0">
      <selection activeCell="B6" sqref="B6"/>
    </sheetView>
  </sheetViews>
  <sheetFormatPr defaultRowHeight="14.5" x14ac:dyDescent="0.35"/>
  <cols>
    <col min="2" max="2" width="22.08984375" bestFit="1" customWidth="1"/>
    <col min="3" max="33" width="6.1796875" customWidth="1"/>
    <col min="38" max="38" width="13.54296875" bestFit="1" customWidth="1"/>
  </cols>
  <sheetData>
    <row r="2" spans="1:38" ht="34.5" x14ac:dyDescent="0.8">
      <c r="A2" s="14" t="str">
        <f>"Daily Tracker " &amp; TEXT(B6,"mmm yyy")</f>
        <v>Daily Tracker Jan 1900</v>
      </c>
      <c r="B2" s="14"/>
      <c r="C2" s="14"/>
      <c r="D2" s="14"/>
      <c r="E2" s="14"/>
      <c r="H2" s="13" t="s">
        <v>7</v>
      </c>
      <c r="I2" s="13"/>
      <c r="J2" s="13"/>
      <c r="K2" s="13"/>
      <c r="L2" s="13"/>
      <c r="M2" s="13"/>
      <c r="N2" s="13"/>
      <c r="O2" s="13"/>
      <c r="P2" s="13"/>
      <c r="Q2" s="13"/>
    </row>
    <row r="5" spans="1:38" x14ac:dyDescent="0.35">
      <c r="B5" s="5" t="s">
        <v>0</v>
      </c>
      <c r="L5" s="9">
        <f>COUNTA(B9:B18)</f>
        <v>10</v>
      </c>
    </row>
    <row r="6" spans="1:38" x14ac:dyDescent="0.35">
      <c r="B6" s="6"/>
    </row>
    <row r="7" spans="1:38" ht="18.5" x14ac:dyDescent="0.45">
      <c r="AI7" s="15" t="s">
        <v>5</v>
      </c>
      <c r="AJ7" s="16"/>
      <c r="AK7" s="16"/>
      <c r="AL7" s="16"/>
    </row>
    <row r="8" spans="1:38" ht="37" x14ac:dyDescent="0.45">
      <c r="B8" s="7" t="s">
        <v>1</v>
      </c>
      <c r="C8" s="11" cm="1">
        <f t="array" ref="C8:AH8">_xlfn.SEQUENCE(1,EOMONTH(B6,0)-B6+1)</f>
        <v>1</v>
      </c>
      <c r="D8" s="11">
        <v>2</v>
      </c>
      <c r="E8" s="11">
        <v>3</v>
      </c>
      <c r="F8" s="11">
        <v>4</v>
      </c>
      <c r="G8" s="11">
        <v>5</v>
      </c>
      <c r="H8" s="11">
        <v>6</v>
      </c>
      <c r="I8" s="11">
        <v>7</v>
      </c>
      <c r="J8" s="11">
        <v>8</v>
      </c>
      <c r="K8" s="11">
        <v>9</v>
      </c>
      <c r="L8" s="11">
        <v>10</v>
      </c>
      <c r="M8" s="11">
        <v>11</v>
      </c>
      <c r="N8" s="11">
        <v>12</v>
      </c>
      <c r="O8" s="11">
        <v>13</v>
      </c>
      <c r="P8" s="11">
        <v>14</v>
      </c>
      <c r="Q8" s="11">
        <v>15</v>
      </c>
      <c r="R8" s="11">
        <v>16</v>
      </c>
      <c r="S8" s="11">
        <v>17</v>
      </c>
      <c r="T8" s="11">
        <v>18</v>
      </c>
      <c r="U8" s="11">
        <v>19</v>
      </c>
      <c r="V8" s="11">
        <v>20</v>
      </c>
      <c r="W8" s="11">
        <v>21</v>
      </c>
      <c r="X8" s="11">
        <v>22</v>
      </c>
      <c r="Y8" s="11">
        <v>23</v>
      </c>
      <c r="Z8" s="11">
        <v>24</v>
      </c>
      <c r="AA8" s="11">
        <v>25</v>
      </c>
      <c r="AB8" s="11">
        <v>26</v>
      </c>
      <c r="AC8" s="11">
        <v>27</v>
      </c>
      <c r="AD8" s="11">
        <v>28</v>
      </c>
      <c r="AE8" s="11">
        <v>29</v>
      </c>
      <c r="AF8" s="11">
        <v>30</v>
      </c>
      <c r="AG8" s="11">
        <v>31</v>
      </c>
      <c r="AH8">
        <v>32</v>
      </c>
      <c r="AI8" s="8" t="s">
        <v>2</v>
      </c>
      <c r="AJ8" s="8" t="s">
        <v>4</v>
      </c>
      <c r="AK8" s="8" t="s">
        <v>3</v>
      </c>
      <c r="AL8" s="8" t="s">
        <v>8</v>
      </c>
    </row>
    <row r="9" spans="1:38" ht="16" x14ac:dyDescent="0.4">
      <c r="B9" s="12" t="s">
        <v>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I9" s="1">
        <f>COUNTIF($C9:$AG9,1)</f>
        <v>0</v>
      </c>
      <c r="AJ9" s="1">
        <f>COUNTIF($C9:$AG9,0)</f>
        <v>0</v>
      </c>
      <c r="AK9" s="1">
        <f>SUM(AI9:AJ9)</f>
        <v>0</v>
      </c>
      <c r="AL9" s="10">
        <f>AK9/COUNT(C8:$AG$8)</f>
        <v>0</v>
      </c>
    </row>
    <row r="10" spans="1:38" ht="16" x14ac:dyDescent="0.4">
      <c r="B10" s="12" t="s">
        <v>10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I10" s="1">
        <f t="shared" ref="AI10:AI18" si="0">COUNTIF($C10:$AG10,1)</f>
        <v>0</v>
      </c>
      <c r="AJ10" s="1">
        <f t="shared" ref="AJ10:AJ18" si="1">COUNTIF($C10:$AG10,0)</f>
        <v>0</v>
      </c>
      <c r="AK10" s="1">
        <f t="shared" ref="AK10:AK18" si="2">SUM(AI10:AJ10)</f>
        <v>0</v>
      </c>
      <c r="AL10" s="10">
        <f>AK10/COUNT(C$8:$AG9)</f>
        <v>0</v>
      </c>
    </row>
    <row r="11" spans="1:38" ht="16" x14ac:dyDescent="0.4">
      <c r="B11" s="12" t="s">
        <v>11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I11" s="1">
        <f t="shared" si="0"/>
        <v>0</v>
      </c>
      <c r="AJ11" s="1">
        <f t="shared" si="1"/>
        <v>0</v>
      </c>
      <c r="AK11" s="1">
        <f t="shared" si="2"/>
        <v>0</v>
      </c>
      <c r="AL11" s="10">
        <f>AK11/COUNT(C$8:$AG10)</f>
        <v>0</v>
      </c>
    </row>
    <row r="12" spans="1:38" ht="16" x14ac:dyDescent="0.4">
      <c r="B12" s="12" t="s">
        <v>12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I12" s="1">
        <f t="shared" si="0"/>
        <v>0</v>
      </c>
      <c r="AJ12" s="1">
        <f t="shared" si="1"/>
        <v>0</v>
      </c>
      <c r="AK12" s="1">
        <f t="shared" si="2"/>
        <v>0</v>
      </c>
      <c r="AL12" s="10">
        <f>AK12/COUNT(C$8:$AG11)</f>
        <v>0</v>
      </c>
    </row>
    <row r="13" spans="1:38" ht="16" x14ac:dyDescent="0.4">
      <c r="B13" s="12" t="s">
        <v>13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I13" s="1">
        <f t="shared" si="0"/>
        <v>0</v>
      </c>
      <c r="AJ13" s="1">
        <f t="shared" si="1"/>
        <v>0</v>
      </c>
      <c r="AK13" s="1">
        <f t="shared" si="2"/>
        <v>0</v>
      </c>
      <c r="AL13" s="10">
        <f>AK13/COUNT(C$8:$AG12)</f>
        <v>0</v>
      </c>
    </row>
    <row r="14" spans="1:38" ht="16" x14ac:dyDescent="0.4">
      <c r="B14" s="12" t="s">
        <v>14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I14" s="1">
        <f t="shared" si="0"/>
        <v>0</v>
      </c>
      <c r="AJ14" s="1">
        <f t="shared" si="1"/>
        <v>0</v>
      </c>
      <c r="AK14" s="1">
        <f t="shared" si="2"/>
        <v>0</v>
      </c>
      <c r="AL14" s="10">
        <f>AK14/COUNT(C$8:$AG13)</f>
        <v>0</v>
      </c>
    </row>
    <row r="15" spans="1:38" ht="16" x14ac:dyDescent="0.4">
      <c r="B15" s="12" t="s">
        <v>15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I15" s="1">
        <f t="shared" si="0"/>
        <v>0</v>
      </c>
      <c r="AJ15" s="1">
        <f t="shared" si="1"/>
        <v>0</v>
      </c>
      <c r="AK15" s="1">
        <f t="shared" si="2"/>
        <v>0</v>
      </c>
      <c r="AL15" s="10">
        <f>AK15/COUNT(C$8:$AG14)</f>
        <v>0</v>
      </c>
    </row>
    <row r="16" spans="1:38" ht="16" x14ac:dyDescent="0.4">
      <c r="B16" s="12" t="s">
        <v>16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I16" s="1">
        <f t="shared" si="0"/>
        <v>0</v>
      </c>
      <c r="AJ16" s="1">
        <f t="shared" si="1"/>
        <v>0</v>
      </c>
      <c r="AK16" s="1">
        <f t="shared" si="2"/>
        <v>0</v>
      </c>
      <c r="AL16" s="10">
        <f>AK16/COUNT(C$8:$AG15)</f>
        <v>0</v>
      </c>
    </row>
    <row r="17" spans="2:38" ht="16" x14ac:dyDescent="0.4">
      <c r="B17" s="12" t="s">
        <v>17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I17" s="1">
        <f t="shared" si="0"/>
        <v>0</v>
      </c>
      <c r="AJ17" s="1">
        <f t="shared" si="1"/>
        <v>0</v>
      </c>
      <c r="AK17" s="1">
        <f t="shared" si="2"/>
        <v>0</v>
      </c>
      <c r="AL17" s="10">
        <f>AK17/COUNT(C$8:$AG16)</f>
        <v>0</v>
      </c>
    </row>
    <row r="18" spans="2:38" ht="16" x14ac:dyDescent="0.4">
      <c r="B18" s="12" t="s">
        <v>18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I18" s="1">
        <f t="shared" si="0"/>
        <v>0</v>
      </c>
      <c r="AJ18" s="1">
        <f t="shared" si="1"/>
        <v>0</v>
      </c>
      <c r="AK18" s="1">
        <f t="shared" si="2"/>
        <v>0</v>
      </c>
      <c r="AL18" s="10">
        <f>AK18/COUNT(C$8:$AG17)</f>
        <v>0</v>
      </c>
    </row>
    <row r="19" spans="2:38" ht="16" x14ac:dyDescent="0.4">
      <c r="B19" s="3" t="s">
        <v>6</v>
      </c>
      <c r="C19" s="2">
        <f>COUNTIF(C9:C18,1)</f>
        <v>0</v>
      </c>
      <c r="D19" s="2">
        <f t="shared" ref="D19:AG19" si="3">COUNTIF(D9:D18,1)</f>
        <v>0</v>
      </c>
      <c r="E19" s="2">
        <f t="shared" si="3"/>
        <v>0</v>
      </c>
      <c r="F19" s="2">
        <f t="shared" si="3"/>
        <v>0</v>
      </c>
      <c r="G19" s="2">
        <f t="shared" si="3"/>
        <v>0</v>
      </c>
      <c r="H19" s="2">
        <f t="shared" si="3"/>
        <v>0</v>
      </c>
      <c r="I19" s="2">
        <f t="shared" si="3"/>
        <v>0</v>
      </c>
      <c r="J19" s="2">
        <f t="shared" si="3"/>
        <v>0</v>
      </c>
      <c r="K19" s="2">
        <f t="shared" si="3"/>
        <v>0</v>
      </c>
      <c r="L19" s="2">
        <f t="shared" si="3"/>
        <v>0</v>
      </c>
      <c r="M19" s="2">
        <f t="shared" si="3"/>
        <v>0</v>
      </c>
      <c r="N19" s="2">
        <f t="shared" si="3"/>
        <v>0</v>
      </c>
      <c r="O19" s="2">
        <f t="shared" si="3"/>
        <v>0</v>
      </c>
      <c r="P19" s="2">
        <f t="shared" si="3"/>
        <v>0</v>
      </c>
      <c r="Q19" s="2">
        <f t="shared" si="3"/>
        <v>0</v>
      </c>
      <c r="R19" s="2">
        <f t="shared" si="3"/>
        <v>0</v>
      </c>
      <c r="S19" s="2">
        <f t="shared" si="3"/>
        <v>0</v>
      </c>
      <c r="T19" s="2">
        <f t="shared" si="3"/>
        <v>0</v>
      </c>
      <c r="U19" s="2">
        <f t="shared" si="3"/>
        <v>0</v>
      </c>
      <c r="V19" s="2">
        <f t="shared" si="3"/>
        <v>0</v>
      </c>
      <c r="W19" s="2">
        <f t="shared" si="3"/>
        <v>0</v>
      </c>
      <c r="X19" s="2">
        <f t="shared" si="3"/>
        <v>0</v>
      </c>
      <c r="Y19" s="2">
        <f t="shared" si="3"/>
        <v>0</v>
      </c>
      <c r="Z19" s="2">
        <f t="shared" si="3"/>
        <v>0</v>
      </c>
      <c r="AA19" s="2">
        <f t="shared" si="3"/>
        <v>0</v>
      </c>
      <c r="AB19" s="2">
        <f t="shared" si="3"/>
        <v>0</v>
      </c>
      <c r="AC19" s="2">
        <f t="shared" si="3"/>
        <v>0</v>
      </c>
      <c r="AD19" s="2">
        <f t="shared" si="3"/>
        <v>0</v>
      </c>
      <c r="AE19" s="2">
        <f t="shared" si="3"/>
        <v>0</v>
      </c>
      <c r="AF19" s="2">
        <f t="shared" si="3"/>
        <v>0</v>
      </c>
      <c r="AG19" s="2">
        <f t="shared" si="3"/>
        <v>0</v>
      </c>
    </row>
    <row r="20" spans="2:38" x14ac:dyDescent="0.35">
      <c r="C20" s="9">
        <f>COUNTA($B$9:$B$18)</f>
        <v>10</v>
      </c>
      <c r="D20" s="9">
        <f t="shared" ref="D20:AG20" si="4">COUNTA($B$9:$B$18)</f>
        <v>10</v>
      </c>
      <c r="E20" s="9">
        <f t="shared" si="4"/>
        <v>10</v>
      </c>
      <c r="F20" s="9">
        <f t="shared" si="4"/>
        <v>10</v>
      </c>
      <c r="G20" s="9">
        <f t="shared" si="4"/>
        <v>10</v>
      </c>
      <c r="H20" s="9">
        <f t="shared" si="4"/>
        <v>10</v>
      </c>
      <c r="I20" s="9">
        <f t="shared" si="4"/>
        <v>10</v>
      </c>
      <c r="J20" s="9">
        <f t="shared" si="4"/>
        <v>10</v>
      </c>
      <c r="K20" s="9">
        <f t="shared" si="4"/>
        <v>10</v>
      </c>
      <c r="L20" s="9">
        <f t="shared" si="4"/>
        <v>10</v>
      </c>
      <c r="M20" s="9">
        <f t="shared" si="4"/>
        <v>10</v>
      </c>
      <c r="N20" s="9">
        <f t="shared" si="4"/>
        <v>10</v>
      </c>
      <c r="O20" s="9">
        <f t="shared" si="4"/>
        <v>10</v>
      </c>
      <c r="P20" s="9">
        <f t="shared" si="4"/>
        <v>10</v>
      </c>
      <c r="Q20" s="9">
        <f t="shared" si="4"/>
        <v>10</v>
      </c>
      <c r="R20" s="9">
        <f t="shared" si="4"/>
        <v>10</v>
      </c>
      <c r="S20" s="9">
        <f t="shared" si="4"/>
        <v>10</v>
      </c>
      <c r="T20" s="9">
        <f t="shared" si="4"/>
        <v>10</v>
      </c>
      <c r="U20" s="9">
        <f t="shared" si="4"/>
        <v>10</v>
      </c>
      <c r="V20" s="9">
        <f t="shared" si="4"/>
        <v>10</v>
      </c>
      <c r="W20" s="9">
        <f t="shared" si="4"/>
        <v>10</v>
      </c>
      <c r="X20" s="9">
        <f t="shared" si="4"/>
        <v>10</v>
      </c>
      <c r="Y20" s="9">
        <f t="shared" si="4"/>
        <v>10</v>
      </c>
      <c r="Z20" s="9">
        <f t="shared" si="4"/>
        <v>10</v>
      </c>
      <c r="AA20" s="9">
        <f t="shared" si="4"/>
        <v>10</v>
      </c>
      <c r="AB20" s="9">
        <f t="shared" si="4"/>
        <v>10</v>
      </c>
      <c r="AC20" s="9">
        <f t="shared" si="4"/>
        <v>10</v>
      </c>
      <c r="AD20" s="9">
        <f t="shared" si="4"/>
        <v>10</v>
      </c>
      <c r="AE20" s="9">
        <f t="shared" si="4"/>
        <v>10</v>
      </c>
      <c r="AF20" s="9">
        <f t="shared" si="4"/>
        <v>10</v>
      </c>
      <c r="AG20" s="9">
        <f t="shared" si="4"/>
        <v>10</v>
      </c>
    </row>
  </sheetData>
  <mergeCells count="3">
    <mergeCell ref="A2:E2"/>
    <mergeCell ref="H2:Q2"/>
    <mergeCell ref="AI7:AL7"/>
  </mergeCells>
  <conditionalFormatting sqref="AK9:AK18">
    <cfRule type="dataBar" priority="3">
      <dataBar>
        <cfvo type="min"/>
        <cfvo type="max"/>
        <color theme="2" tint="-9.9978637043366805E-2"/>
      </dataBar>
      <extLst>
        <ext xmlns:x14="http://schemas.microsoft.com/office/spreadsheetml/2009/9/main" uri="{B025F937-C7B1-47D3-B67F-A62EFF666E3E}">
          <x14:id>{9288B700-013D-45F6-804D-D2A83C5E09F8}</x14:id>
        </ext>
      </extLst>
    </cfRule>
  </conditionalFormatting>
  <conditionalFormatting sqref="AL9:AL18">
    <cfRule type="iconSet" priority="2">
      <iconSet iconSet="3Flags">
        <cfvo type="percent" val="0"/>
        <cfvo type="percent" val="60"/>
        <cfvo type="percent" val="67"/>
      </iconSe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19125138-4604-456F-9DF9-6901ADA6672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C9:AG18</xm:sqref>
        </x14:conditionalFormatting>
        <x14:conditionalFormatting xmlns:xm="http://schemas.microsoft.com/office/excel/2006/main">
          <x14:cfRule type="iconSet" priority="1" id="{26615CAF-7E69-43FB-B5D0-F636AFB100F1}">
            <x14:iconSet iconSet="3Stars">
              <x14:cfvo type="percent">
                <xm:f>0</xm:f>
              </x14:cfvo>
              <x14:cfvo type="num">
                <xm:f>5</xm:f>
              </x14:cfvo>
              <x14:cfvo type="num">
                <xm:f>10</xm:f>
              </x14:cfvo>
            </x14:iconSet>
          </x14:cfRule>
          <xm:sqref>C19:AG19</xm:sqref>
        </x14:conditionalFormatting>
        <x14:conditionalFormatting xmlns:xm="http://schemas.microsoft.com/office/excel/2006/main">
          <x14:cfRule type="dataBar" id="{9288B700-013D-45F6-804D-D2A83C5E09F8}">
            <x14:dataBar minLength="0" maxLength="100" border="1" negativeBarBorderColorSameAsPositive="0">
              <x14:cfvo type="autoMin"/>
              <x14:cfvo type="autoMax"/>
              <x14:borderColor theme="9"/>
              <x14:negativeFillColor rgb="FFFF0000"/>
              <x14:negativeBorderColor rgb="FFFF0000"/>
              <x14:axisColor rgb="FF000000"/>
            </x14:dataBar>
          </x14:cfRule>
          <xm:sqref>AK9:AK18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0A70D-EB1E-4AE5-A8B9-3B55C50FC64D}">
  <dimension ref="A2:AL20"/>
  <sheetViews>
    <sheetView showGridLines="0" tabSelected="1" zoomScale="70" zoomScaleNormal="70" workbookViewId="0">
      <selection activeCell="G6" sqref="G6"/>
    </sheetView>
  </sheetViews>
  <sheetFormatPr defaultRowHeight="14.5" x14ac:dyDescent="0.35"/>
  <cols>
    <col min="2" max="2" width="22.08984375" bestFit="1" customWidth="1"/>
    <col min="3" max="33" width="6.1796875" customWidth="1"/>
    <col min="38" max="38" width="13.54296875" bestFit="1" customWidth="1"/>
  </cols>
  <sheetData>
    <row r="2" spans="1:38" ht="34.5" x14ac:dyDescent="0.8">
      <c r="A2" s="14" t="str">
        <f>"Daily Tracker " &amp; TEXT(B6,"mmm yyy")</f>
        <v>Daily Tracker Jan 2026</v>
      </c>
      <c r="B2" s="14"/>
      <c r="C2" s="14"/>
      <c r="D2" s="14"/>
      <c r="E2" s="14"/>
      <c r="H2" s="13" t="s">
        <v>7</v>
      </c>
      <c r="I2" s="13"/>
      <c r="J2" s="13"/>
      <c r="K2" s="13"/>
      <c r="L2" s="13"/>
      <c r="M2" s="13"/>
      <c r="N2" s="13"/>
      <c r="O2" s="13"/>
      <c r="P2" s="13"/>
      <c r="Q2" s="13"/>
    </row>
    <row r="5" spans="1:38" x14ac:dyDescent="0.35">
      <c r="B5" s="5" t="s">
        <v>0</v>
      </c>
      <c r="L5" s="9">
        <f>COUNTA(B9:B18)</f>
        <v>10</v>
      </c>
    </row>
    <row r="6" spans="1:38" x14ac:dyDescent="0.35">
      <c r="B6" s="6">
        <v>46023</v>
      </c>
    </row>
    <row r="7" spans="1:38" ht="18.5" x14ac:dyDescent="0.45">
      <c r="AI7" s="15" t="s">
        <v>5</v>
      </c>
      <c r="AJ7" s="16"/>
      <c r="AK7" s="16"/>
      <c r="AL7" s="16"/>
    </row>
    <row r="8" spans="1:38" ht="37" x14ac:dyDescent="0.45">
      <c r="B8" s="7" t="s">
        <v>1</v>
      </c>
      <c r="C8" s="11" cm="1">
        <f t="array" ref="C8:AG8">_xlfn.SEQUENCE(1,EOMONTH(B6,0)-B6+1)</f>
        <v>1</v>
      </c>
      <c r="D8" s="11">
        <v>2</v>
      </c>
      <c r="E8" s="11">
        <v>3</v>
      </c>
      <c r="F8" s="11">
        <v>4</v>
      </c>
      <c r="G8" s="11">
        <v>5</v>
      </c>
      <c r="H8" s="11">
        <v>6</v>
      </c>
      <c r="I8" s="11">
        <v>7</v>
      </c>
      <c r="J8" s="11">
        <v>8</v>
      </c>
      <c r="K8" s="11">
        <v>9</v>
      </c>
      <c r="L8" s="11">
        <v>10</v>
      </c>
      <c r="M8" s="11">
        <v>11</v>
      </c>
      <c r="N8" s="11">
        <v>12</v>
      </c>
      <c r="O8" s="11">
        <v>13</v>
      </c>
      <c r="P8" s="11">
        <v>14</v>
      </c>
      <c r="Q8" s="11">
        <v>15</v>
      </c>
      <c r="R8" s="11">
        <v>16</v>
      </c>
      <c r="S8" s="11">
        <v>17</v>
      </c>
      <c r="T8" s="11">
        <v>18</v>
      </c>
      <c r="U8" s="11">
        <v>19</v>
      </c>
      <c r="V8" s="11">
        <v>20</v>
      </c>
      <c r="W8" s="11">
        <v>21</v>
      </c>
      <c r="X8" s="11">
        <v>22</v>
      </c>
      <c r="Y8" s="11">
        <v>23</v>
      </c>
      <c r="Z8" s="11">
        <v>24</v>
      </c>
      <c r="AA8" s="11">
        <v>25</v>
      </c>
      <c r="AB8" s="11">
        <v>26</v>
      </c>
      <c r="AC8" s="11">
        <v>27</v>
      </c>
      <c r="AD8" s="11">
        <v>28</v>
      </c>
      <c r="AE8" s="11">
        <v>29</v>
      </c>
      <c r="AF8" s="11">
        <v>30</v>
      </c>
      <c r="AG8" s="11">
        <v>31</v>
      </c>
      <c r="AI8" s="8" t="s">
        <v>2</v>
      </c>
      <c r="AJ8" s="8" t="s">
        <v>4</v>
      </c>
      <c r="AK8" s="8" t="s">
        <v>3</v>
      </c>
      <c r="AL8" s="8" t="s">
        <v>8</v>
      </c>
    </row>
    <row r="9" spans="1:38" ht="16" x14ac:dyDescent="0.4">
      <c r="B9" s="12" t="s">
        <v>9</v>
      </c>
      <c r="C9" s="4">
        <v>0</v>
      </c>
      <c r="D9" s="4"/>
      <c r="E9" s="4">
        <v>1</v>
      </c>
      <c r="F9" s="4"/>
      <c r="G9" s="4">
        <v>0</v>
      </c>
      <c r="H9" s="4"/>
      <c r="I9" s="4"/>
      <c r="J9" s="4"/>
      <c r="K9" s="4"/>
      <c r="L9" s="4">
        <v>1</v>
      </c>
      <c r="M9" s="4">
        <v>1</v>
      </c>
      <c r="N9" s="4"/>
      <c r="O9" s="4"/>
      <c r="P9" s="4">
        <v>1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I9" s="1">
        <f>COUNTIF($C9:$AG9,1)</f>
        <v>4</v>
      </c>
      <c r="AJ9" s="1">
        <f>COUNTIF($C9:$AG9,0)</f>
        <v>2</v>
      </c>
      <c r="AK9" s="1">
        <f>SUM(AI9:AJ9)</f>
        <v>6</v>
      </c>
      <c r="AL9" s="10">
        <f>AK9/COUNT(C8:$AG$8)</f>
        <v>0.19354838709677419</v>
      </c>
    </row>
    <row r="10" spans="1:38" ht="16" x14ac:dyDescent="0.4">
      <c r="B10" s="12" t="s">
        <v>10</v>
      </c>
      <c r="C10" s="4">
        <v>1</v>
      </c>
      <c r="D10" s="4">
        <v>0</v>
      </c>
      <c r="E10" s="4">
        <v>1</v>
      </c>
      <c r="F10" s="4"/>
      <c r="G10" s="4">
        <v>0</v>
      </c>
      <c r="H10" s="4"/>
      <c r="I10" s="4">
        <v>0</v>
      </c>
      <c r="J10" s="4"/>
      <c r="K10" s="4">
        <v>1</v>
      </c>
      <c r="L10" s="4">
        <v>1</v>
      </c>
      <c r="M10" s="4">
        <v>1</v>
      </c>
      <c r="N10" s="4">
        <v>0</v>
      </c>
      <c r="O10" s="4">
        <v>0</v>
      </c>
      <c r="P10" s="4">
        <v>1</v>
      </c>
      <c r="Q10" s="4">
        <v>1</v>
      </c>
      <c r="R10" s="4">
        <v>1</v>
      </c>
      <c r="S10" s="4">
        <v>0</v>
      </c>
      <c r="T10" s="4">
        <v>0</v>
      </c>
      <c r="U10" s="4">
        <v>0</v>
      </c>
      <c r="V10" s="4">
        <v>0</v>
      </c>
      <c r="W10" s="4">
        <v>1</v>
      </c>
      <c r="X10" s="4">
        <v>0</v>
      </c>
      <c r="Y10" s="4">
        <v>1</v>
      </c>
      <c r="Z10" s="4">
        <v>0</v>
      </c>
      <c r="AA10" s="4">
        <v>1</v>
      </c>
      <c r="AB10" s="4">
        <v>1</v>
      </c>
      <c r="AC10" s="4">
        <v>1</v>
      </c>
      <c r="AD10" s="4">
        <v>0</v>
      </c>
      <c r="AE10" s="4">
        <v>0</v>
      </c>
      <c r="AF10" s="4">
        <v>1</v>
      </c>
      <c r="AG10" s="4">
        <v>0</v>
      </c>
      <c r="AI10" s="1">
        <f t="shared" ref="AI10:AI18" si="0">COUNTIF($C10:$AG10,1)</f>
        <v>14</v>
      </c>
      <c r="AJ10" s="1">
        <f t="shared" ref="AJ10:AJ18" si="1">COUNTIF($C10:$AG10,0)</f>
        <v>14</v>
      </c>
      <c r="AK10" s="1">
        <f t="shared" ref="AK10:AK18" si="2">SUM(AI10:AJ10)</f>
        <v>28</v>
      </c>
      <c r="AL10" s="10">
        <f>AK10/COUNT(C$8:$AG9)</f>
        <v>0.7567567567567568</v>
      </c>
    </row>
    <row r="11" spans="1:38" ht="16" x14ac:dyDescent="0.4">
      <c r="B11" s="12" t="s">
        <v>11</v>
      </c>
      <c r="C11" s="4">
        <v>0</v>
      </c>
      <c r="D11" s="4">
        <v>1</v>
      </c>
      <c r="E11" s="4">
        <v>1</v>
      </c>
      <c r="F11" s="4"/>
      <c r="G11" s="4">
        <v>0</v>
      </c>
      <c r="H11" s="4">
        <v>1</v>
      </c>
      <c r="I11" s="4">
        <v>1</v>
      </c>
      <c r="J11" s="4"/>
      <c r="K11" s="4"/>
      <c r="L11" s="4">
        <v>1</v>
      </c>
      <c r="M11" s="4">
        <v>1</v>
      </c>
      <c r="N11" s="4"/>
      <c r="O11" s="4"/>
      <c r="P11" s="4">
        <v>1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I11" s="1">
        <f t="shared" si="0"/>
        <v>7</v>
      </c>
      <c r="AJ11" s="1">
        <f t="shared" si="1"/>
        <v>2</v>
      </c>
      <c r="AK11" s="1">
        <f t="shared" si="2"/>
        <v>9</v>
      </c>
      <c r="AL11" s="10">
        <f>AK11/COUNT(C$8:$AG10)</f>
        <v>0.13846153846153847</v>
      </c>
    </row>
    <row r="12" spans="1:38" ht="16" x14ac:dyDescent="0.4">
      <c r="B12" s="12" t="s">
        <v>12</v>
      </c>
      <c r="C12" s="4">
        <v>1</v>
      </c>
      <c r="D12" s="4"/>
      <c r="E12" s="4">
        <v>1</v>
      </c>
      <c r="F12" s="4">
        <v>0</v>
      </c>
      <c r="G12" s="4">
        <v>1</v>
      </c>
      <c r="H12" s="4">
        <v>0</v>
      </c>
      <c r="I12" s="4">
        <v>1</v>
      </c>
      <c r="J12" s="4">
        <v>1</v>
      </c>
      <c r="K12" s="4">
        <v>0</v>
      </c>
      <c r="L12" s="4">
        <v>1</v>
      </c>
      <c r="M12" s="4">
        <v>1</v>
      </c>
      <c r="N12" s="4">
        <v>0</v>
      </c>
      <c r="O12" s="4">
        <v>1</v>
      </c>
      <c r="P12" s="4">
        <v>1</v>
      </c>
      <c r="Q12" s="4">
        <v>1</v>
      </c>
      <c r="R12" s="4">
        <v>0</v>
      </c>
      <c r="S12" s="4">
        <v>1</v>
      </c>
      <c r="T12" s="4">
        <v>0</v>
      </c>
      <c r="U12" s="4">
        <v>1</v>
      </c>
      <c r="V12" s="4">
        <v>0</v>
      </c>
      <c r="W12" s="4">
        <v>1</v>
      </c>
      <c r="X12" s="4">
        <v>0</v>
      </c>
      <c r="Y12" s="4">
        <v>1</v>
      </c>
      <c r="Z12" s="4">
        <v>0</v>
      </c>
      <c r="AA12" s="4">
        <v>1</v>
      </c>
      <c r="AB12" s="4">
        <v>0</v>
      </c>
      <c r="AC12" s="4">
        <v>1</v>
      </c>
      <c r="AD12" s="4">
        <v>0</v>
      </c>
      <c r="AE12" s="4">
        <v>1</v>
      </c>
      <c r="AF12" s="4">
        <v>0</v>
      </c>
      <c r="AG12" s="4">
        <v>1</v>
      </c>
      <c r="AI12" s="1">
        <f t="shared" si="0"/>
        <v>18</v>
      </c>
      <c r="AJ12" s="1">
        <f t="shared" si="1"/>
        <v>12</v>
      </c>
      <c r="AK12" s="1">
        <f t="shared" si="2"/>
        <v>30</v>
      </c>
      <c r="AL12" s="10">
        <f>AK12/COUNT(C$8:$AG11)</f>
        <v>0.40540540540540543</v>
      </c>
    </row>
    <row r="13" spans="1:38" ht="16" x14ac:dyDescent="0.4">
      <c r="B13" s="12" t="s">
        <v>13</v>
      </c>
      <c r="C13" s="4"/>
      <c r="D13" s="4"/>
      <c r="E13" s="4">
        <v>0</v>
      </c>
      <c r="F13" s="4"/>
      <c r="G13" s="4"/>
      <c r="H13" s="4">
        <v>0</v>
      </c>
      <c r="I13" s="4"/>
      <c r="J13" s="4">
        <v>1</v>
      </c>
      <c r="K13" s="4">
        <v>0</v>
      </c>
      <c r="L13" s="4">
        <v>1</v>
      </c>
      <c r="M13" s="4">
        <v>1</v>
      </c>
      <c r="N13" s="4">
        <v>1</v>
      </c>
      <c r="O13" s="4">
        <v>0</v>
      </c>
      <c r="P13" s="4">
        <v>1</v>
      </c>
      <c r="Q13" s="4">
        <v>0</v>
      </c>
      <c r="R13" s="4">
        <v>1</v>
      </c>
      <c r="S13" s="4">
        <v>0</v>
      </c>
      <c r="T13" s="4">
        <v>1</v>
      </c>
      <c r="U13" s="4">
        <v>0</v>
      </c>
      <c r="V13" s="4">
        <v>1</v>
      </c>
      <c r="W13" s="4">
        <v>0</v>
      </c>
      <c r="X13" s="4">
        <v>1</v>
      </c>
      <c r="Y13" s="4">
        <v>0</v>
      </c>
      <c r="Z13" s="4">
        <v>1</v>
      </c>
      <c r="AA13" s="4">
        <v>0</v>
      </c>
      <c r="AB13" s="4">
        <v>1</v>
      </c>
      <c r="AC13" s="4">
        <v>0</v>
      </c>
      <c r="AD13" s="4">
        <v>1</v>
      </c>
      <c r="AE13" s="4">
        <v>0</v>
      </c>
      <c r="AF13" s="4">
        <v>1</v>
      </c>
      <c r="AG13" s="4">
        <v>0</v>
      </c>
      <c r="AI13" s="1">
        <f t="shared" si="0"/>
        <v>13</v>
      </c>
      <c r="AJ13" s="1">
        <f t="shared" si="1"/>
        <v>13</v>
      </c>
      <c r="AK13" s="1">
        <f t="shared" si="2"/>
        <v>26</v>
      </c>
      <c r="AL13" s="10">
        <f>AK13/COUNT(C$8:$AG12)</f>
        <v>0.25</v>
      </c>
    </row>
    <row r="14" spans="1:38" ht="16" x14ac:dyDescent="0.4">
      <c r="B14" s="12" t="s">
        <v>14</v>
      </c>
      <c r="C14" s="4"/>
      <c r="D14" s="4">
        <v>0</v>
      </c>
      <c r="E14" s="4">
        <v>0</v>
      </c>
      <c r="F14" s="4"/>
      <c r="G14" s="4"/>
      <c r="H14" s="4">
        <v>1</v>
      </c>
      <c r="I14" s="4">
        <v>0</v>
      </c>
      <c r="J14" s="4">
        <v>0</v>
      </c>
      <c r="K14" s="4">
        <v>1</v>
      </c>
      <c r="L14" s="4">
        <v>1</v>
      </c>
      <c r="M14" s="4">
        <v>1</v>
      </c>
      <c r="N14" s="4"/>
      <c r="O14" s="4"/>
      <c r="P14" s="4">
        <v>1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I14" s="1">
        <f t="shared" si="0"/>
        <v>5</v>
      </c>
      <c r="AJ14" s="1">
        <f t="shared" si="1"/>
        <v>4</v>
      </c>
      <c r="AK14" s="1">
        <f t="shared" si="2"/>
        <v>9</v>
      </c>
      <c r="AL14" s="10">
        <f>AK14/COUNT(C$8:$AG13)</f>
        <v>6.9230769230769235E-2</v>
      </c>
    </row>
    <row r="15" spans="1:38" ht="16" x14ac:dyDescent="0.4">
      <c r="B15" s="12" t="s">
        <v>15</v>
      </c>
      <c r="C15" s="4"/>
      <c r="D15" s="4">
        <v>1</v>
      </c>
      <c r="E15" s="4">
        <v>0</v>
      </c>
      <c r="F15" s="4"/>
      <c r="G15" s="4">
        <v>1</v>
      </c>
      <c r="H15" s="4"/>
      <c r="I15" s="4"/>
      <c r="J15" s="4">
        <v>1</v>
      </c>
      <c r="K15" s="4">
        <v>0</v>
      </c>
      <c r="L15" s="4">
        <v>1</v>
      </c>
      <c r="M15" s="4">
        <v>1</v>
      </c>
      <c r="N15" s="4">
        <v>0</v>
      </c>
      <c r="O15" s="4"/>
      <c r="P15" s="4">
        <v>1</v>
      </c>
      <c r="Q15" s="4"/>
      <c r="R15" s="4"/>
      <c r="S15" s="4">
        <v>1</v>
      </c>
      <c r="T15" s="4"/>
      <c r="U15" s="4"/>
      <c r="V15" s="4">
        <v>1</v>
      </c>
      <c r="W15" s="4"/>
      <c r="X15" s="4">
        <v>0</v>
      </c>
      <c r="Y15" s="4"/>
      <c r="Z15" s="4">
        <v>1</v>
      </c>
      <c r="AA15" s="4"/>
      <c r="AB15" s="4"/>
      <c r="AC15" s="4">
        <v>0</v>
      </c>
      <c r="AD15" s="4"/>
      <c r="AE15" s="4">
        <v>1</v>
      </c>
      <c r="AF15" s="4">
        <v>0</v>
      </c>
      <c r="AG15" s="4"/>
      <c r="AI15" s="1">
        <f t="shared" si="0"/>
        <v>10</v>
      </c>
      <c r="AJ15" s="1">
        <f t="shared" si="1"/>
        <v>6</v>
      </c>
      <c r="AK15" s="1">
        <f t="shared" si="2"/>
        <v>16</v>
      </c>
      <c r="AL15" s="10">
        <f>AK15/COUNT(C$8:$AG14)</f>
        <v>0.11510791366906475</v>
      </c>
    </row>
    <row r="16" spans="1:38" ht="16" x14ac:dyDescent="0.4">
      <c r="B16" s="12" t="s">
        <v>16</v>
      </c>
      <c r="C16" s="4"/>
      <c r="D16" s="4">
        <v>1</v>
      </c>
      <c r="E16" s="4">
        <v>1</v>
      </c>
      <c r="F16" s="4"/>
      <c r="G16" s="4">
        <v>1</v>
      </c>
      <c r="H16" s="4">
        <v>1</v>
      </c>
      <c r="I16" s="4">
        <v>1</v>
      </c>
      <c r="J16" s="4"/>
      <c r="K16" s="4"/>
      <c r="L16" s="4">
        <v>1</v>
      </c>
      <c r="M16" s="4">
        <v>0</v>
      </c>
      <c r="N16" s="4"/>
      <c r="O16" s="4">
        <v>1</v>
      </c>
      <c r="P16" s="4">
        <v>1</v>
      </c>
      <c r="Q16" s="4">
        <v>1</v>
      </c>
      <c r="R16" s="4">
        <v>0</v>
      </c>
      <c r="S16" s="4"/>
      <c r="T16" s="4">
        <v>0</v>
      </c>
      <c r="U16" s="4"/>
      <c r="V16" s="4"/>
      <c r="W16" s="4"/>
      <c r="X16" s="4"/>
      <c r="Y16" s="4"/>
      <c r="Z16" s="4"/>
      <c r="AA16" s="4">
        <v>0</v>
      </c>
      <c r="AB16" s="4"/>
      <c r="AC16" s="4">
        <v>1</v>
      </c>
      <c r="AD16" s="4"/>
      <c r="AE16" s="4"/>
      <c r="AF16" s="4"/>
      <c r="AG16" s="4">
        <v>1</v>
      </c>
      <c r="AI16" s="1">
        <f t="shared" si="0"/>
        <v>11</v>
      </c>
      <c r="AJ16" s="1">
        <f t="shared" si="1"/>
        <v>4</v>
      </c>
      <c r="AK16" s="1">
        <f t="shared" si="2"/>
        <v>15</v>
      </c>
      <c r="AL16" s="10">
        <f>AK16/COUNT(C$8:$AG15)</f>
        <v>9.6774193548387094E-2</v>
      </c>
    </row>
    <row r="17" spans="2:38" ht="16" x14ac:dyDescent="0.4">
      <c r="B17" s="12" t="s">
        <v>17</v>
      </c>
      <c r="C17" s="4"/>
      <c r="D17" s="4">
        <v>1</v>
      </c>
      <c r="E17" s="4">
        <v>1</v>
      </c>
      <c r="F17" s="4"/>
      <c r="G17" s="4">
        <v>1</v>
      </c>
      <c r="H17" s="4"/>
      <c r="I17" s="4">
        <v>1</v>
      </c>
      <c r="J17" s="4"/>
      <c r="K17" s="4">
        <v>0</v>
      </c>
      <c r="L17" s="4">
        <v>1</v>
      </c>
      <c r="M17" s="4">
        <v>0</v>
      </c>
      <c r="N17" s="4"/>
      <c r="O17" s="4"/>
      <c r="P17" s="4">
        <v>1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I17" s="1">
        <f t="shared" si="0"/>
        <v>6</v>
      </c>
      <c r="AJ17" s="1">
        <f t="shared" si="1"/>
        <v>2</v>
      </c>
      <c r="AK17" s="1">
        <f t="shared" si="2"/>
        <v>8</v>
      </c>
      <c r="AL17" s="10">
        <f>AK17/COUNT(C$8:$AG16)</f>
        <v>4.7058823529411764E-2</v>
      </c>
    </row>
    <row r="18" spans="2:38" ht="16" x14ac:dyDescent="0.4">
      <c r="B18" s="12" t="s">
        <v>18</v>
      </c>
      <c r="C18" s="4"/>
      <c r="D18" s="4"/>
      <c r="E18" s="4">
        <v>0</v>
      </c>
      <c r="F18" s="4">
        <v>0</v>
      </c>
      <c r="G18" s="4">
        <v>1</v>
      </c>
      <c r="H18" s="4">
        <v>0</v>
      </c>
      <c r="I18" s="4">
        <v>0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/>
      <c r="P18" s="4">
        <v>0</v>
      </c>
      <c r="Q18" s="4"/>
      <c r="R18" s="4">
        <v>1</v>
      </c>
      <c r="S18" s="4"/>
      <c r="T18" s="4">
        <v>0</v>
      </c>
      <c r="U18" s="4">
        <v>1</v>
      </c>
      <c r="V18" s="4"/>
      <c r="W18" s="4"/>
      <c r="X18" s="4">
        <v>0</v>
      </c>
      <c r="Y18" s="4">
        <v>1</v>
      </c>
      <c r="Z18" s="4">
        <v>0</v>
      </c>
      <c r="AA18" s="4">
        <v>0</v>
      </c>
      <c r="AB18" s="4"/>
      <c r="AC18" s="4">
        <v>1</v>
      </c>
      <c r="AD18" s="4">
        <v>1</v>
      </c>
      <c r="AE18" s="4"/>
      <c r="AF18" s="4">
        <v>0</v>
      </c>
      <c r="AG18" s="4">
        <v>1</v>
      </c>
      <c r="AI18" s="1">
        <f t="shared" si="0"/>
        <v>12</v>
      </c>
      <c r="AJ18" s="1">
        <f t="shared" si="1"/>
        <v>10</v>
      </c>
      <c r="AK18" s="1">
        <f t="shared" si="2"/>
        <v>22</v>
      </c>
      <c r="AL18" s="10">
        <f>AK18/COUNT(C$8:$AG17)</f>
        <v>0.12359550561797752</v>
      </c>
    </row>
    <row r="19" spans="2:38" ht="16" x14ac:dyDescent="0.4">
      <c r="B19" s="3" t="s">
        <v>6</v>
      </c>
      <c r="C19" s="2">
        <f>COUNTIF(C9:C18,1)</f>
        <v>2</v>
      </c>
      <c r="D19" s="2">
        <f t="shared" ref="D19:AG19" si="3">COUNTIF(D9:D18,1)</f>
        <v>4</v>
      </c>
      <c r="E19" s="2">
        <f t="shared" si="3"/>
        <v>6</v>
      </c>
      <c r="F19" s="2">
        <f t="shared" si="3"/>
        <v>0</v>
      </c>
      <c r="G19" s="2">
        <f t="shared" si="3"/>
        <v>5</v>
      </c>
      <c r="H19" s="2">
        <f t="shared" si="3"/>
        <v>3</v>
      </c>
      <c r="I19" s="2">
        <f t="shared" si="3"/>
        <v>4</v>
      </c>
      <c r="J19" s="2">
        <f t="shared" si="3"/>
        <v>4</v>
      </c>
      <c r="K19" s="2">
        <f t="shared" si="3"/>
        <v>3</v>
      </c>
      <c r="L19" s="2">
        <f t="shared" si="3"/>
        <v>10</v>
      </c>
      <c r="M19" s="2">
        <f t="shared" si="3"/>
        <v>8</v>
      </c>
      <c r="N19" s="2">
        <f t="shared" si="3"/>
        <v>2</v>
      </c>
      <c r="O19" s="2">
        <f t="shared" si="3"/>
        <v>2</v>
      </c>
      <c r="P19" s="2">
        <f t="shared" si="3"/>
        <v>9</v>
      </c>
      <c r="Q19" s="2">
        <f t="shared" si="3"/>
        <v>3</v>
      </c>
      <c r="R19" s="2">
        <f t="shared" si="3"/>
        <v>3</v>
      </c>
      <c r="S19" s="2">
        <f t="shared" si="3"/>
        <v>2</v>
      </c>
      <c r="T19" s="2">
        <f t="shared" si="3"/>
        <v>1</v>
      </c>
      <c r="U19" s="2">
        <f t="shared" si="3"/>
        <v>2</v>
      </c>
      <c r="V19" s="2">
        <f t="shared" si="3"/>
        <v>2</v>
      </c>
      <c r="W19" s="2">
        <f t="shared" si="3"/>
        <v>2</v>
      </c>
      <c r="X19" s="2">
        <f t="shared" si="3"/>
        <v>1</v>
      </c>
      <c r="Y19" s="2">
        <f t="shared" si="3"/>
        <v>3</v>
      </c>
      <c r="Z19" s="2">
        <f t="shared" si="3"/>
        <v>2</v>
      </c>
      <c r="AA19" s="2">
        <f t="shared" si="3"/>
        <v>2</v>
      </c>
      <c r="AB19" s="2">
        <f t="shared" si="3"/>
        <v>2</v>
      </c>
      <c r="AC19" s="2">
        <f t="shared" si="3"/>
        <v>4</v>
      </c>
      <c r="AD19" s="2">
        <f t="shared" si="3"/>
        <v>2</v>
      </c>
      <c r="AE19" s="2">
        <f t="shared" si="3"/>
        <v>2</v>
      </c>
      <c r="AF19" s="2">
        <f t="shared" si="3"/>
        <v>2</v>
      </c>
      <c r="AG19" s="2">
        <f t="shared" si="3"/>
        <v>3</v>
      </c>
    </row>
    <row r="20" spans="2:38" x14ac:dyDescent="0.35">
      <c r="C20" s="9">
        <f>COUNTA($B$9:$B$18)</f>
        <v>10</v>
      </c>
      <c r="D20" s="9">
        <f t="shared" ref="D20:AG20" si="4">COUNTA($B$9:$B$18)</f>
        <v>10</v>
      </c>
      <c r="E20" s="9">
        <f t="shared" si="4"/>
        <v>10</v>
      </c>
      <c r="F20" s="9">
        <f t="shared" si="4"/>
        <v>10</v>
      </c>
      <c r="G20" s="9">
        <f t="shared" si="4"/>
        <v>10</v>
      </c>
      <c r="H20" s="9">
        <f t="shared" si="4"/>
        <v>10</v>
      </c>
      <c r="I20" s="9">
        <f t="shared" si="4"/>
        <v>10</v>
      </c>
      <c r="J20" s="9">
        <f t="shared" si="4"/>
        <v>10</v>
      </c>
      <c r="K20" s="9">
        <f t="shared" si="4"/>
        <v>10</v>
      </c>
      <c r="L20" s="9">
        <f t="shared" si="4"/>
        <v>10</v>
      </c>
      <c r="M20" s="9">
        <f t="shared" si="4"/>
        <v>10</v>
      </c>
      <c r="N20" s="9">
        <f t="shared" si="4"/>
        <v>10</v>
      </c>
      <c r="O20" s="9">
        <f t="shared" si="4"/>
        <v>10</v>
      </c>
      <c r="P20" s="9">
        <f t="shared" si="4"/>
        <v>10</v>
      </c>
      <c r="Q20" s="9">
        <f t="shared" si="4"/>
        <v>10</v>
      </c>
      <c r="R20" s="9">
        <f t="shared" si="4"/>
        <v>10</v>
      </c>
      <c r="S20" s="9">
        <f t="shared" si="4"/>
        <v>10</v>
      </c>
      <c r="T20" s="9">
        <f t="shared" si="4"/>
        <v>10</v>
      </c>
      <c r="U20" s="9">
        <f t="shared" si="4"/>
        <v>10</v>
      </c>
      <c r="V20" s="9">
        <f t="shared" si="4"/>
        <v>10</v>
      </c>
      <c r="W20" s="9">
        <f t="shared" si="4"/>
        <v>10</v>
      </c>
      <c r="X20" s="9">
        <f t="shared" si="4"/>
        <v>10</v>
      </c>
      <c r="Y20" s="9">
        <f t="shared" si="4"/>
        <v>10</v>
      </c>
      <c r="Z20" s="9">
        <f t="shared" si="4"/>
        <v>10</v>
      </c>
      <c r="AA20" s="9">
        <f t="shared" si="4"/>
        <v>10</v>
      </c>
      <c r="AB20" s="9">
        <f t="shared" si="4"/>
        <v>10</v>
      </c>
      <c r="AC20" s="9">
        <f t="shared" si="4"/>
        <v>10</v>
      </c>
      <c r="AD20" s="9">
        <f t="shared" si="4"/>
        <v>10</v>
      </c>
      <c r="AE20" s="9">
        <f t="shared" si="4"/>
        <v>10</v>
      </c>
      <c r="AF20" s="9">
        <f t="shared" si="4"/>
        <v>10</v>
      </c>
      <c r="AG20" s="9">
        <f t="shared" si="4"/>
        <v>10</v>
      </c>
    </row>
  </sheetData>
  <mergeCells count="3">
    <mergeCell ref="H2:Q2"/>
    <mergeCell ref="A2:E2"/>
    <mergeCell ref="AI7:AL7"/>
  </mergeCells>
  <conditionalFormatting sqref="AK9:AK18">
    <cfRule type="dataBar" priority="3">
      <dataBar>
        <cfvo type="min"/>
        <cfvo type="max"/>
        <color theme="2" tint="-9.9978637043366805E-2"/>
      </dataBar>
      <extLst>
        <ext xmlns:x14="http://schemas.microsoft.com/office/spreadsheetml/2009/9/main" uri="{B025F937-C7B1-47D3-B67F-A62EFF666E3E}">
          <x14:id>{4CD2AC32-D38E-445B-82CE-3ED14BC677B9}</x14:id>
        </ext>
      </extLst>
    </cfRule>
  </conditionalFormatting>
  <conditionalFormatting sqref="AL9:AL18">
    <cfRule type="iconSet" priority="2">
      <iconSet iconSet="3Flags">
        <cfvo type="percent" val="0"/>
        <cfvo type="percent" val="60"/>
        <cfvo type="percent" val="67"/>
      </iconSe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3376409F-39EB-4E27-93D4-3F177431F83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C9:AG18</xm:sqref>
        </x14:conditionalFormatting>
        <x14:conditionalFormatting xmlns:xm="http://schemas.microsoft.com/office/excel/2006/main">
          <x14:cfRule type="iconSet" priority="1" id="{26EC86D7-09A2-4951-A0BD-18D44816FA4E}">
            <x14:iconSet iconSet="3Stars">
              <x14:cfvo type="percent">
                <xm:f>0</xm:f>
              </x14:cfvo>
              <x14:cfvo type="num">
                <xm:f>5</xm:f>
              </x14:cfvo>
              <x14:cfvo type="num">
                <xm:f>10</xm:f>
              </x14:cfvo>
            </x14:iconSet>
          </x14:cfRule>
          <xm:sqref>C19:AG19</xm:sqref>
        </x14:conditionalFormatting>
        <x14:conditionalFormatting xmlns:xm="http://schemas.microsoft.com/office/excel/2006/main">
          <x14:cfRule type="dataBar" id="{4CD2AC32-D38E-445B-82CE-3ED14BC677B9}">
            <x14:dataBar minLength="0" maxLength="100" border="1" negativeBarBorderColorSameAsPositive="0">
              <x14:cfvo type="autoMin"/>
              <x14:cfvo type="autoMax"/>
              <x14:borderColor theme="9"/>
              <x14:negativeFillColor rgb="FFFF0000"/>
              <x14:negativeBorderColor rgb="FFFF0000"/>
              <x14:axisColor rgb="FF000000"/>
            </x14:dataBar>
          </x14:cfRule>
          <xm:sqref>AK9:AK18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Jan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Yaswanth Reddy</dc:creator>
  <cp:lastModifiedBy>Yaswanth Reddy</cp:lastModifiedBy>
  <dcterms:created xsi:type="dcterms:W3CDTF">2026-01-19T09:59:33Z</dcterms:created>
  <dcterms:modified xsi:type="dcterms:W3CDTF">2026-01-24T09:55:02Z</dcterms:modified>
</cp:coreProperties>
</file>