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ya\Documents\Excel projects\"/>
    </mc:Choice>
  </mc:AlternateContent>
  <xr:revisionPtr revIDLastSave="0" documentId="13_ncr:1_{883F9EE6-5809-4449-A73C-88ABAADB4512}" xr6:coauthVersionLast="47" xr6:coauthVersionMax="47" xr10:uidLastSave="{00000000-0000-0000-0000-000000000000}"/>
  <bookViews>
    <workbookView xWindow="-110" yWindow="-110" windowWidth="19420" windowHeight="10300" activeTab="1" xr2:uid="{C8C5D9C3-3F11-41C5-BF84-1EEE72401647}"/>
  </bookViews>
  <sheets>
    <sheet name="Template" sheetId="2" r:id="rId1"/>
    <sheet name="Ja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1" i="2" l="1" a="1"/>
  <c r="AG21" i="2" s="1"/>
  <c r="AF21" i="2" a="1"/>
  <c r="AF21" i="2" s="1"/>
  <c r="AE21" i="2" a="1"/>
  <c r="AE21" i="2" s="1"/>
  <c r="AD21" i="2" a="1"/>
  <c r="AD21" i="2" s="1"/>
  <c r="AC21" i="2" a="1"/>
  <c r="AC21" i="2" s="1"/>
  <c r="AB21" i="2" a="1"/>
  <c r="AB21" i="2" s="1"/>
  <c r="AA21" i="2" a="1"/>
  <c r="AA21" i="2" s="1"/>
  <c r="Z21" i="2" a="1"/>
  <c r="Z21" i="2" s="1"/>
  <c r="Y21" i="2" a="1"/>
  <c r="Y21" i="2" s="1"/>
  <c r="X21" i="2" a="1"/>
  <c r="X21" i="2" s="1"/>
  <c r="W21" i="2" a="1"/>
  <c r="W21" i="2" s="1"/>
  <c r="V21" i="2" a="1"/>
  <c r="V21" i="2" s="1"/>
  <c r="U21" i="2" a="1"/>
  <c r="U21" i="2" s="1"/>
  <c r="T21" i="2" a="1"/>
  <c r="T21" i="2" s="1"/>
  <c r="S21" i="2" a="1"/>
  <c r="S21" i="2" s="1"/>
  <c r="R21" i="2" a="1"/>
  <c r="R21" i="2" s="1"/>
  <c r="Q21" i="2" a="1"/>
  <c r="Q21" i="2" s="1"/>
  <c r="P21" i="2" a="1"/>
  <c r="P21" i="2" s="1"/>
  <c r="O21" i="2" a="1"/>
  <c r="O21" i="2" s="1"/>
  <c r="N21" i="2" a="1"/>
  <c r="N21" i="2" s="1"/>
  <c r="M21" i="2" a="1"/>
  <c r="M21" i="2" s="1"/>
  <c r="L21" i="2" a="1"/>
  <c r="L21" i="2" s="1"/>
  <c r="K21" i="2" a="1"/>
  <c r="K21" i="2" s="1"/>
  <c r="J21" i="2" a="1"/>
  <c r="J21" i="2" s="1"/>
  <c r="I21" i="2" a="1"/>
  <c r="I21" i="2" s="1"/>
  <c r="H21" i="2" a="1"/>
  <c r="H21" i="2" s="1"/>
  <c r="G21" i="2" a="1"/>
  <c r="G21" i="2" s="1"/>
  <c r="F21" i="2" a="1"/>
  <c r="F21" i="2" s="1"/>
  <c r="E21" i="2" a="1"/>
  <c r="E21" i="2" s="1"/>
  <c r="D21" i="2" a="1"/>
  <c r="D21" i="2" s="1"/>
  <c r="C21" i="2" a="1"/>
  <c r="C21" i="2" s="1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AK19" i="2"/>
  <c r="AJ19" i="2"/>
  <c r="AI19" i="2"/>
  <c r="AL19" i="2" s="1"/>
  <c r="AK18" i="2"/>
  <c r="AJ18" i="2"/>
  <c r="AI18" i="2"/>
  <c r="AK17" i="2"/>
  <c r="AJ17" i="2"/>
  <c r="AI17" i="2"/>
  <c r="AL17" i="2" s="1"/>
  <c r="AK16" i="2"/>
  <c r="AJ16" i="2"/>
  <c r="AI16" i="2"/>
  <c r="AL16" i="2" s="1"/>
  <c r="AK15" i="2"/>
  <c r="AJ15" i="2"/>
  <c r="AI15" i="2"/>
  <c r="AL15" i="2" s="1"/>
  <c r="AL14" i="2"/>
  <c r="AK14" i="2"/>
  <c r="AJ14" i="2"/>
  <c r="AI14" i="2"/>
  <c r="AK13" i="2"/>
  <c r="AJ13" i="2"/>
  <c r="AI13" i="2"/>
  <c r="AL13" i="2" s="1"/>
  <c r="AK12" i="2"/>
  <c r="AJ12" i="2"/>
  <c r="AI12" i="2"/>
  <c r="AL12" i="2" s="1"/>
  <c r="AK11" i="2"/>
  <c r="AJ11" i="2"/>
  <c r="AL11" i="2" s="1"/>
  <c r="AI11" i="2"/>
  <c r="C10" i="2"/>
  <c r="C10" i="2" a="1"/>
  <c r="C2" i="2"/>
  <c r="D21" i="1" a="1"/>
  <c r="D21" i="1" s="1"/>
  <c r="E21" i="1" a="1"/>
  <c r="E21" i="1" s="1"/>
  <c r="F21" i="1" a="1"/>
  <c r="F21" i="1"/>
  <c r="G21" i="1" a="1"/>
  <c r="G21" i="1"/>
  <c r="H21" i="1" a="1"/>
  <c r="H21" i="1"/>
  <c r="I21" i="1" a="1"/>
  <c r="I21" i="1"/>
  <c r="J21" i="1" a="1"/>
  <c r="J21" i="1" s="1"/>
  <c r="K21" i="1" a="1"/>
  <c r="K21" i="1" s="1"/>
  <c r="L21" i="1" a="1"/>
  <c r="L21" i="1"/>
  <c r="M21" i="1" a="1"/>
  <c r="M21" i="1"/>
  <c r="N21" i="1" a="1"/>
  <c r="N21" i="1" s="1"/>
  <c r="O21" i="1" a="1"/>
  <c r="O21" i="1"/>
  <c r="P21" i="1" a="1"/>
  <c r="P21" i="1" s="1"/>
  <c r="Q21" i="1" a="1"/>
  <c r="Q21" i="1" s="1"/>
  <c r="R21" i="1" a="1"/>
  <c r="R21" i="1"/>
  <c r="S21" i="1" a="1"/>
  <c r="S21" i="1" s="1"/>
  <c r="T21" i="1" a="1"/>
  <c r="T21" i="1"/>
  <c r="U21" i="1" a="1"/>
  <c r="U21" i="1"/>
  <c r="V21" i="1" a="1"/>
  <c r="V21" i="1" s="1"/>
  <c r="W21" i="1" a="1"/>
  <c r="W21" i="1" s="1"/>
  <c r="X21" i="1" a="1"/>
  <c r="X21" i="1"/>
  <c r="Y21" i="1" a="1"/>
  <c r="Y21" i="1"/>
  <c r="Z21" i="1" a="1"/>
  <c r="Z21" i="1"/>
  <c r="AA21" i="1" a="1"/>
  <c r="AA21" i="1" s="1"/>
  <c r="AB21" i="1" a="1"/>
  <c r="AB21" i="1" s="1"/>
  <c r="AC21" i="1" a="1"/>
  <c r="AC21" i="1" s="1"/>
  <c r="AD21" i="1" a="1"/>
  <c r="AD21" i="1"/>
  <c r="AE21" i="1" a="1"/>
  <c r="AE21" i="1" s="1"/>
  <c r="AF21" i="1" a="1"/>
  <c r="AF21" i="1"/>
  <c r="AG21" i="1" a="1"/>
  <c r="AG21" i="1" s="1"/>
  <c r="C21" i="1" a="1"/>
  <c r="C21" i="1" s="1"/>
  <c r="AL18" i="1"/>
  <c r="AI12" i="1"/>
  <c r="AL12" i="1" s="1"/>
  <c r="AJ12" i="1"/>
  <c r="AK12" i="1"/>
  <c r="AI13" i="1"/>
  <c r="AL13" i="1" s="1"/>
  <c r="AJ13" i="1"/>
  <c r="AK13" i="1"/>
  <c r="AI14" i="1"/>
  <c r="AJ14" i="1"/>
  <c r="AK14" i="1"/>
  <c r="AI15" i="1"/>
  <c r="AL15" i="1" s="1"/>
  <c r="AJ15" i="1"/>
  <c r="AK15" i="1"/>
  <c r="AI16" i="1"/>
  <c r="AL16" i="1" s="1"/>
  <c r="AJ16" i="1"/>
  <c r="AK16" i="1"/>
  <c r="AI17" i="1"/>
  <c r="AL17" i="1" s="1"/>
  <c r="AJ17" i="1"/>
  <c r="AK17" i="1"/>
  <c r="AI18" i="1"/>
  <c r="AJ18" i="1"/>
  <c r="AK18" i="1"/>
  <c r="AI19" i="1"/>
  <c r="AJ19" i="1"/>
  <c r="AK19" i="1"/>
  <c r="AL19" i="1" s="1"/>
  <c r="AK11" i="1"/>
  <c r="AJ11" i="1"/>
  <c r="AI11" i="1"/>
  <c r="AL11" i="1" s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C20" i="1"/>
  <c r="C2" i="1"/>
  <c r="C10" i="1" a="1"/>
  <c r="C10" i="1" s="1"/>
  <c r="AL18" i="2" l="1"/>
  <c r="AL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<sst xmlns="http://schemas.openxmlformats.org/spreadsheetml/2006/main" count="200" uniqueCount="23">
  <si>
    <t>Start Date</t>
  </si>
  <si>
    <t>Sign</t>
  </si>
  <si>
    <t>Shift</t>
  </si>
  <si>
    <t>M</t>
  </si>
  <si>
    <t>Morning</t>
  </si>
  <si>
    <t>A</t>
  </si>
  <si>
    <t>Afternoon</t>
  </si>
  <si>
    <t>N</t>
  </si>
  <si>
    <t>Night</t>
  </si>
  <si>
    <t xml:space="preserve">           Date
Name</t>
  </si>
  <si>
    <t>Alex Hong</t>
  </si>
  <si>
    <t>Bernault</t>
  </si>
  <si>
    <t>Carson</t>
  </si>
  <si>
    <t>Elon</t>
  </si>
  <si>
    <t>Devi</t>
  </si>
  <si>
    <t>Emanuel</t>
  </si>
  <si>
    <t>Farukh</t>
  </si>
  <si>
    <t>Ganga</t>
  </si>
  <si>
    <t>Homan</t>
  </si>
  <si>
    <t>Total Shifts</t>
  </si>
  <si>
    <t>Summary</t>
  </si>
  <si>
    <t>Total</t>
  </si>
  <si>
    <t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</si>
</sst>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theme="1" tint="0.499984740745262"/>
      </diagonal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5" borderId="0" xfId="0" applyFont="1" applyFill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wrapText="1"/>
    </xf>
    <xf numFmtId="164" fontId="5" fillId="5" borderId="1" xfId="0" applyNumberFormat="1" applyFont="1" applyFill="1" applyBorder="1" applyAlignment="1">
      <alignment vertical="center"/>
    </xf>
    <xf numFmtId="14" fontId="2" fillId="5" borderId="0" xfId="0" applyNumberFormat="1" applyFont="1" applyFill="1"/>
    <xf numFmtId="0" fontId="6" fillId="0" borderId="1" xfId="0" applyFont="1" applyBorder="1"/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theme="0"/>
      </font>
      <fill>
        <patternFill>
          <bgColor theme="9" tint="0.39994506668294322"/>
        </patternFill>
      </fill>
    </dxf>
    <dxf>
      <font>
        <b/>
        <i val="0"/>
        <strike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theme="0"/>
      </font>
      <fill>
        <patternFill>
          <bgColor theme="9" tint="0.39994506668294322"/>
        </patternFill>
      </fill>
    </dxf>
    <dxf>
      <font>
        <b/>
        <i val="0"/>
        <strike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v>Shifts</c:v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Template!$C$20:$AG$20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EE5-4994-9FA7-FC813BD52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871424"/>
        <c:axId val="9208719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Date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Template!$C$10:$AG$10</c15:sqref>
                        </c15:formulaRef>
                      </c:ext>
                    </c:extLst>
                    <c:numCache>
                      <c:formatCode>dd</c:formatCode>
                      <c:ptCount val="3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EE5-4994-9FA7-FC813BD52334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2"/>
          <c:order val="2"/>
          <c:tx>
            <c:v>Total Shifts</c:v>
          </c:tx>
          <c:spPr>
            <a:ln w="28575" cap="rnd">
              <a:solidFill>
                <a:schemeClr val="accent3">
                  <a:alpha val="3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Template!$C$22:$AG$22</c:f>
              <c:numCache>
                <c:formatCode>General</c:formatCode>
                <c:ptCount val="31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E5-4994-9FA7-FC813BD52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8975792"/>
        <c:axId val="1238979632"/>
      </c:lineChart>
      <c:catAx>
        <c:axId val="920871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871904"/>
        <c:crosses val="autoZero"/>
        <c:auto val="1"/>
        <c:lblAlgn val="ctr"/>
        <c:lblOffset val="100"/>
        <c:noMultiLvlLbl val="0"/>
      </c:catAx>
      <c:valAx>
        <c:axId val="9208719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20871424"/>
        <c:crosses val="autoZero"/>
        <c:crossBetween val="between"/>
      </c:valAx>
      <c:valAx>
        <c:axId val="1238979632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238975792"/>
        <c:crosses val="max"/>
        <c:crossBetween val="between"/>
      </c:valAx>
      <c:catAx>
        <c:axId val="1238975792"/>
        <c:scaling>
          <c:orientation val="minMax"/>
        </c:scaling>
        <c:delete val="1"/>
        <c:axPos val="b"/>
        <c:majorTickMark val="out"/>
        <c:minorTickMark val="none"/>
        <c:tickLblPos val="nextTo"/>
        <c:crossAx val="1238979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Template!$AI$10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Template!$B$11:$B$19</c:f>
              <c:strCache>
                <c:ptCount val="9"/>
                <c:pt idx="0">
                  <c:v>Alex Hong</c:v>
                </c:pt>
                <c:pt idx="1">
                  <c:v>Bernault</c:v>
                </c:pt>
                <c:pt idx="2">
                  <c:v>Carson</c:v>
                </c:pt>
                <c:pt idx="3">
                  <c:v>Elon</c:v>
                </c:pt>
                <c:pt idx="4">
                  <c:v>Devi</c:v>
                </c:pt>
                <c:pt idx="5">
                  <c:v>Emanuel</c:v>
                </c:pt>
                <c:pt idx="6">
                  <c:v>Farukh</c:v>
                </c:pt>
                <c:pt idx="7">
                  <c:v>Ganga</c:v>
                </c:pt>
                <c:pt idx="8">
                  <c:v>Homan</c:v>
                </c:pt>
              </c:strCache>
            </c:strRef>
          </c:cat>
          <c:val>
            <c:numRef>
              <c:f>Template!$AI$11:$AI$19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78-466D-BA74-06B53E9E37FF}"/>
            </c:ext>
          </c:extLst>
        </c:ser>
        <c:ser>
          <c:idx val="1"/>
          <c:order val="1"/>
          <c:tx>
            <c:strRef>
              <c:f>Template!$AJ$10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Template!$B$11:$B$19</c:f>
              <c:strCache>
                <c:ptCount val="9"/>
                <c:pt idx="0">
                  <c:v>Alex Hong</c:v>
                </c:pt>
                <c:pt idx="1">
                  <c:v>Bernault</c:v>
                </c:pt>
                <c:pt idx="2">
                  <c:v>Carson</c:v>
                </c:pt>
                <c:pt idx="3">
                  <c:v>Elon</c:v>
                </c:pt>
                <c:pt idx="4">
                  <c:v>Devi</c:v>
                </c:pt>
                <c:pt idx="5">
                  <c:v>Emanuel</c:v>
                </c:pt>
                <c:pt idx="6">
                  <c:v>Farukh</c:v>
                </c:pt>
                <c:pt idx="7">
                  <c:v>Ganga</c:v>
                </c:pt>
                <c:pt idx="8">
                  <c:v>Homan</c:v>
                </c:pt>
              </c:strCache>
            </c:strRef>
          </c:cat>
          <c:val>
            <c:numRef>
              <c:f>Template!$AJ$11:$AJ$19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78-466D-BA74-06B53E9E37FF}"/>
            </c:ext>
          </c:extLst>
        </c:ser>
        <c:ser>
          <c:idx val="2"/>
          <c:order val="2"/>
          <c:tx>
            <c:strRef>
              <c:f>Template!$AK$10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Template!$B$11:$B$19</c:f>
              <c:strCache>
                <c:ptCount val="9"/>
                <c:pt idx="0">
                  <c:v>Alex Hong</c:v>
                </c:pt>
                <c:pt idx="1">
                  <c:v>Bernault</c:v>
                </c:pt>
                <c:pt idx="2">
                  <c:v>Carson</c:v>
                </c:pt>
                <c:pt idx="3">
                  <c:v>Elon</c:v>
                </c:pt>
                <c:pt idx="4">
                  <c:v>Devi</c:v>
                </c:pt>
                <c:pt idx="5">
                  <c:v>Emanuel</c:v>
                </c:pt>
                <c:pt idx="6">
                  <c:v>Farukh</c:v>
                </c:pt>
                <c:pt idx="7">
                  <c:v>Ganga</c:v>
                </c:pt>
                <c:pt idx="8">
                  <c:v>Homan</c:v>
                </c:pt>
              </c:strCache>
            </c:strRef>
          </c:cat>
          <c:val>
            <c:numRef>
              <c:f>Template!$AK$11:$AK$19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78-466D-BA74-06B53E9E3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6904944"/>
        <c:axId val="1172776096"/>
      </c:barChart>
      <c:catAx>
        <c:axId val="916904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776096"/>
        <c:crosses val="autoZero"/>
        <c:auto val="1"/>
        <c:lblAlgn val="ctr"/>
        <c:lblOffset val="100"/>
        <c:noMultiLvlLbl val="0"/>
      </c:catAx>
      <c:valAx>
        <c:axId val="1172776096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90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v>Shifts</c:v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Jan!$C$20:$AG$20</c:f>
              <c:numCache>
                <c:formatCode>General</c:formatCode>
                <c:ptCount val="31"/>
                <c:pt idx="0">
                  <c:v>9</c:v>
                </c:pt>
                <c:pt idx="1">
                  <c:v>8</c:v>
                </c:pt>
                <c:pt idx="2">
                  <c:v>9</c:v>
                </c:pt>
                <c:pt idx="3">
                  <c:v>9</c:v>
                </c:pt>
                <c:pt idx="4">
                  <c:v>5</c:v>
                </c:pt>
                <c:pt idx="5">
                  <c:v>7</c:v>
                </c:pt>
                <c:pt idx="6">
                  <c:v>9</c:v>
                </c:pt>
                <c:pt idx="7">
                  <c:v>8</c:v>
                </c:pt>
                <c:pt idx="8">
                  <c:v>6</c:v>
                </c:pt>
                <c:pt idx="9">
                  <c:v>9</c:v>
                </c:pt>
                <c:pt idx="10">
                  <c:v>8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9</c:v>
                </c:pt>
                <c:pt idx="16">
                  <c:v>4</c:v>
                </c:pt>
                <c:pt idx="17">
                  <c:v>0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C7F-427C-B6A0-6834314F3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871424"/>
        <c:axId val="9208719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Date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Jan!$C$10:$AG$10</c15:sqref>
                        </c15:formulaRef>
                      </c:ext>
                    </c:extLst>
                    <c:numCache>
                      <c:formatCode>dd</c:formatCode>
                      <c:ptCount val="3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C7F-427C-B6A0-6834314F3249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2"/>
          <c:order val="2"/>
          <c:tx>
            <c:v>Total Shifts</c:v>
          </c:tx>
          <c:spPr>
            <a:ln w="28575" cap="rnd">
              <a:solidFill>
                <a:schemeClr val="accent3">
                  <a:alpha val="3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Jan!$C$22:$AG$22</c:f>
              <c:numCache>
                <c:formatCode>General</c:formatCode>
                <c:ptCount val="31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7F-427C-B6A0-6834314F3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8975792"/>
        <c:axId val="1238979632"/>
      </c:lineChart>
      <c:catAx>
        <c:axId val="920871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871904"/>
        <c:crosses val="autoZero"/>
        <c:auto val="1"/>
        <c:lblAlgn val="ctr"/>
        <c:lblOffset val="100"/>
        <c:noMultiLvlLbl val="0"/>
      </c:catAx>
      <c:valAx>
        <c:axId val="9208719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20871424"/>
        <c:crosses val="autoZero"/>
        <c:crossBetween val="between"/>
      </c:valAx>
      <c:valAx>
        <c:axId val="1238979632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238975792"/>
        <c:crosses val="max"/>
        <c:crossBetween val="between"/>
      </c:valAx>
      <c:catAx>
        <c:axId val="1238975792"/>
        <c:scaling>
          <c:orientation val="minMax"/>
        </c:scaling>
        <c:delete val="1"/>
        <c:axPos val="b"/>
        <c:majorTickMark val="out"/>
        <c:minorTickMark val="none"/>
        <c:tickLblPos val="nextTo"/>
        <c:crossAx val="1238979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Jan!$AI$10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Jan!$B$11:$B$19</c:f>
              <c:strCache>
                <c:ptCount val="9"/>
                <c:pt idx="0">
                  <c:v>Alex Hong</c:v>
                </c:pt>
                <c:pt idx="1">
                  <c:v>Bernault</c:v>
                </c:pt>
                <c:pt idx="2">
                  <c:v>Carson</c:v>
                </c:pt>
                <c:pt idx="3">
                  <c:v>Elon</c:v>
                </c:pt>
                <c:pt idx="4">
                  <c:v>Devi</c:v>
                </c:pt>
                <c:pt idx="5">
                  <c:v>Emanuel</c:v>
                </c:pt>
                <c:pt idx="6">
                  <c:v>Farukh</c:v>
                </c:pt>
                <c:pt idx="7">
                  <c:v>Ganga</c:v>
                </c:pt>
                <c:pt idx="8">
                  <c:v>Homan</c:v>
                </c:pt>
              </c:strCache>
            </c:strRef>
          </c:cat>
          <c:val>
            <c:numRef>
              <c:f>Jan!$AI$11:$AI$19</c:f>
              <c:numCache>
                <c:formatCode>General</c:formatCode>
                <c:ptCount val="9"/>
                <c:pt idx="0">
                  <c:v>10</c:v>
                </c:pt>
                <c:pt idx="1">
                  <c:v>8</c:v>
                </c:pt>
                <c:pt idx="2">
                  <c:v>8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7</c:v>
                </c:pt>
                <c:pt idx="7">
                  <c:v>5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9-4FAB-9701-9DB87396286F}"/>
            </c:ext>
          </c:extLst>
        </c:ser>
        <c:ser>
          <c:idx val="1"/>
          <c:order val="1"/>
          <c:tx>
            <c:strRef>
              <c:f>Jan!$AJ$10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Jan!$B$11:$B$19</c:f>
              <c:strCache>
                <c:ptCount val="9"/>
                <c:pt idx="0">
                  <c:v>Alex Hong</c:v>
                </c:pt>
                <c:pt idx="1">
                  <c:v>Bernault</c:v>
                </c:pt>
                <c:pt idx="2">
                  <c:v>Carson</c:v>
                </c:pt>
                <c:pt idx="3">
                  <c:v>Elon</c:v>
                </c:pt>
                <c:pt idx="4">
                  <c:v>Devi</c:v>
                </c:pt>
                <c:pt idx="5">
                  <c:v>Emanuel</c:v>
                </c:pt>
                <c:pt idx="6">
                  <c:v>Farukh</c:v>
                </c:pt>
                <c:pt idx="7">
                  <c:v>Ganga</c:v>
                </c:pt>
                <c:pt idx="8">
                  <c:v>Homan</c:v>
                </c:pt>
              </c:strCache>
            </c:strRef>
          </c:cat>
          <c:val>
            <c:numRef>
              <c:f>Jan!$AJ$11:$AJ$19</c:f>
              <c:numCache>
                <c:formatCode>General</c:formatCode>
                <c:ptCount val="9"/>
                <c:pt idx="0">
                  <c:v>7</c:v>
                </c:pt>
                <c:pt idx="1">
                  <c:v>7</c:v>
                </c:pt>
                <c:pt idx="2">
                  <c:v>11</c:v>
                </c:pt>
                <c:pt idx="3">
                  <c:v>10</c:v>
                </c:pt>
                <c:pt idx="4">
                  <c:v>6</c:v>
                </c:pt>
                <c:pt idx="5">
                  <c:v>0</c:v>
                </c:pt>
                <c:pt idx="6">
                  <c:v>8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9-4FAB-9701-9DB87396286F}"/>
            </c:ext>
          </c:extLst>
        </c:ser>
        <c:ser>
          <c:idx val="2"/>
          <c:order val="2"/>
          <c:tx>
            <c:strRef>
              <c:f>Jan!$AK$10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Jan!$B$11:$B$19</c:f>
              <c:strCache>
                <c:ptCount val="9"/>
                <c:pt idx="0">
                  <c:v>Alex Hong</c:v>
                </c:pt>
                <c:pt idx="1">
                  <c:v>Bernault</c:v>
                </c:pt>
                <c:pt idx="2">
                  <c:v>Carson</c:v>
                </c:pt>
                <c:pt idx="3">
                  <c:v>Elon</c:v>
                </c:pt>
                <c:pt idx="4">
                  <c:v>Devi</c:v>
                </c:pt>
                <c:pt idx="5">
                  <c:v>Emanuel</c:v>
                </c:pt>
                <c:pt idx="6">
                  <c:v>Farukh</c:v>
                </c:pt>
                <c:pt idx="7">
                  <c:v>Ganga</c:v>
                </c:pt>
                <c:pt idx="8">
                  <c:v>Homan</c:v>
                </c:pt>
              </c:strCache>
            </c:strRef>
          </c:cat>
          <c:val>
            <c:numRef>
              <c:f>Jan!$AK$11:$AK$19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4">
                  <c:v>10</c:v>
                </c:pt>
                <c:pt idx="5">
                  <c:v>12</c:v>
                </c:pt>
                <c:pt idx="6">
                  <c:v>1</c:v>
                </c:pt>
                <c:pt idx="7">
                  <c:v>8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A9-4FAB-9701-9DB873962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6904944"/>
        <c:axId val="1172776096"/>
      </c:barChart>
      <c:catAx>
        <c:axId val="916904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776096"/>
        <c:crosses val="autoZero"/>
        <c:auto val="1"/>
        <c:lblAlgn val="ctr"/>
        <c:lblOffset val="100"/>
        <c:noMultiLvlLbl val="0"/>
      </c:catAx>
      <c:valAx>
        <c:axId val="1172776096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90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3174</xdr:colOff>
      <xdr:row>22</xdr:row>
      <xdr:rowOff>19050</xdr:rowOff>
    </xdr:from>
    <xdr:to>
      <xdr:col>32</xdr:col>
      <xdr:colOff>349250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EE862F-3380-4E94-B628-5EC79B388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219363</xdr:colOff>
      <xdr:row>22</xdr:row>
      <xdr:rowOff>23102</xdr:rowOff>
    </xdr:from>
    <xdr:to>
      <xdr:col>41</xdr:col>
      <xdr:colOff>138545</xdr:colOff>
      <xdr:row>36</xdr:row>
      <xdr:rowOff>173182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F08A8E-D555-4C9A-B71C-4F8700145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3174</xdr:colOff>
      <xdr:row>22</xdr:row>
      <xdr:rowOff>19050</xdr:rowOff>
    </xdr:from>
    <xdr:to>
      <xdr:col>32</xdr:col>
      <xdr:colOff>349250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145C0B-22C4-16DA-9435-CCF5383E5E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219363</xdr:colOff>
      <xdr:row>22</xdr:row>
      <xdr:rowOff>23102</xdr:rowOff>
    </xdr:from>
    <xdr:to>
      <xdr:col>41</xdr:col>
      <xdr:colOff>138545</xdr:colOff>
      <xdr:row>36</xdr:row>
      <xdr:rowOff>173182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9A4DE8-6120-DCD9-A5FE-19B71C721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1B21-B1F8-4C5E-BBA3-515740EDA5DB}">
  <dimension ref="B2:AL22"/>
  <sheetViews>
    <sheetView showGridLines="0" zoomScale="55" zoomScaleNormal="55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AK22" sqref="AK22"/>
    </sheetView>
  </sheetViews>
  <sheetFormatPr defaultRowHeight="14.5" x14ac:dyDescent="0.35"/>
  <cols>
    <col min="2" max="2" width="10" bestFit="1" customWidth="1"/>
    <col min="3" max="33" width="7.6328125" customWidth="1"/>
    <col min="34" max="34" width="5.26953125" customWidth="1"/>
  </cols>
  <sheetData>
    <row r="2" spans="2:38" ht="21" x14ac:dyDescent="0.5">
      <c r="C2" s="17" t="str">
        <f>"Employee Shift Tracker " &amp; TEXT(B6,"mmm yyy")</f>
        <v>Employee Shift Tracker Jan 2026</v>
      </c>
      <c r="D2" s="17"/>
      <c r="E2" s="17"/>
      <c r="F2" s="17"/>
      <c r="G2" s="17"/>
      <c r="H2" s="17"/>
    </row>
    <row r="5" spans="2:38" ht="16" x14ac:dyDescent="0.35">
      <c r="B5" s="3" t="s">
        <v>0</v>
      </c>
      <c r="D5" s="8" t="s">
        <v>1</v>
      </c>
      <c r="E5" s="8" t="s">
        <v>2</v>
      </c>
    </row>
    <row r="6" spans="2:38" x14ac:dyDescent="0.35">
      <c r="B6" s="11">
        <v>46023</v>
      </c>
      <c r="D6" s="4" t="s">
        <v>3</v>
      </c>
      <c r="E6" s="4" t="s">
        <v>4</v>
      </c>
    </row>
    <row r="7" spans="2:38" x14ac:dyDescent="0.35">
      <c r="D7" s="5" t="s">
        <v>5</v>
      </c>
      <c r="E7" s="5" t="s">
        <v>6</v>
      </c>
    </row>
    <row r="8" spans="2:38" x14ac:dyDescent="0.35">
      <c r="D8" s="6" t="s">
        <v>7</v>
      </c>
      <c r="E8" s="6" t="s">
        <v>8</v>
      </c>
    </row>
    <row r="9" spans="2:38" x14ac:dyDescent="0.35">
      <c r="AI9" s="18" t="s">
        <v>20</v>
      </c>
      <c r="AJ9" s="18"/>
      <c r="AK9" s="18"/>
      <c r="AL9" s="18"/>
    </row>
    <row r="10" spans="2:38" ht="29" x14ac:dyDescent="0.35">
      <c r="B10" s="9" t="s">
        <v>9</v>
      </c>
      <c r="C10" s="10" cm="1">
        <f t="array" ref="C10:AG10">_xlfn.SEQUENCE(1,EOMONTH(B6,0)-B6+1)</f>
        <v>1</v>
      </c>
      <c r="D10" s="10">
        <v>2</v>
      </c>
      <c r="E10" s="10">
        <v>3</v>
      </c>
      <c r="F10" s="10">
        <v>4</v>
      </c>
      <c r="G10" s="10">
        <v>5</v>
      </c>
      <c r="H10" s="10">
        <v>6</v>
      </c>
      <c r="I10" s="10">
        <v>7</v>
      </c>
      <c r="J10" s="10">
        <v>8</v>
      </c>
      <c r="K10" s="10">
        <v>9</v>
      </c>
      <c r="L10" s="10">
        <v>10</v>
      </c>
      <c r="M10" s="10">
        <v>11</v>
      </c>
      <c r="N10" s="10">
        <v>12</v>
      </c>
      <c r="O10" s="10">
        <v>13</v>
      </c>
      <c r="P10" s="10">
        <v>14</v>
      </c>
      <c r="Q10" s="10">
        <v>15</v>
      </c>
      <c r="R10" s="10">
        <v>16</v>
      </c>
      <c r="S10" s="10">
        <v>17</v>
      </c>
      <c r="T10" s="10">
        <v>18</v>
      </c>
      <c r="U10" s="10">
        <v>19</v>
      </c>
      <c r="V10" s="10">
        <v>20</v>
      </c>
      <c r="W10" s="10">
        <v>21</v>
      </c>
      <c r="X10" s="10">
        <v>22</v>
      </c>
      <c r="Y10" s="10">
        <v>23</v>
      </c>
      <c r="Z10" s="10">
        <v>24</v>
      </c>
      <c r="AA10" s="10">
        <v>25</v>
      </c>
      <c r="AB10" s="10">
        <v>26</v>
      </c>
      <c r="AC10" s="10">
        <v>27</v>
      </c>
      <c r="AD10" s="10">
        <v>28</v>
      </c>
      <c r="AE10" s="10">
        <v>29</v>
      </c>
      <c r="AF10" s="10">
        <v>30</v>
      </c>
      <c r="AG10" s="10">
        <v>31</v>
      </c>
      <c r="AI10" s="7" t="s">
        <v>3</v>
      </c>
      <c r="AJ10" s="7" t="s">
        <v>5</v>
      </c>
      <c r="AK10" s="7" t="s">
        <v>7</v>
      </c>
      <c r="AL10" s="7" t="s">
        <v>21</v>
      </c>
    </row>
    <row r="11" spans="2:38" x14ac:dyDescent="0.35">
      <c r="B11" s="1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I11" s="1">
        <f>COUNTIF(C11:AG11,"M")</f>
        <v>0</v>
      </c>
      <c r="AJ11" s="1">
        <f>COUNTIF(C11:AG11,"A")</f>
        <v>0</v>
      </c>
      <c r="AK11" s="1">
        <f>COUNTIF(C11:AG11,"N")</f>
        <v>0</v>
      </c>
      <c r="AL11" s="1">
        <f>SUM(AI11:AK11)</f>
        <v>0</v>
      </c>
    </row>
    <row r="12" spans="2:38" x14ac:dyDescent="0.35">
      <c r="B12" s="1" t="s">
        <v>11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I12" s="1">
        <f t="shared" ref="AI12:AI19" si="0">COUNTIF(C12:AG12,"M")</f>
        <v>0</v>
      </c>
      <c r="AJ12" s="1">
        <f t="shared" ref="AJ12:AJ19" si="1">COUNTIF(C12:AG12,"A")</f>
        <v>0</v>
      </c>
      <c r="AK12" s="1">
        <f t="shared" ref="AK12:AK19" si="2">COUNTIF(C12:AG12,"N")</f>
        <v>0</v>
      </c>
      <c r="AL12" s="1">
        <f t="shared" ref="AL12:AL19" si="3">SUM(AI12:AK12)</f>
        <v>0</v>
      </c>
    </row>
    <row r="13" spans="2:38" x14ac:dyDescent="0.35">
      <c r="B13" s="1" t="s">
        <v>12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I13" s="1">
        <f t="shared" si="0"/>
        <v>0</v>
      </c>
      <c r="AJ13" s="1">
        <f t="shared" si="1"/>
        <v>0</v>
      </c>
      <c r="AK13" s="1">
        <f t="shared" si="2"/>
        <v>0</v>
      </c>
      <c r="AL13" s="1">
        <f t="shared" si="3"/>
        <v>0</v>
      </c>
    </row>
    <row r="14" spans="2:38" x14ac:dyDescent="0.35">
      <c r="B14" s="1" t="s">
        <v>13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I14" s="1">
        <f t="shared" si="0"/>
        <v>0</v>
      </c>
      <c r="AJ14" s="1">
        <f t="shared" si="1"/>
        <v>0</v>
      </c>
      <c r="AK14" s="1">
        <f t="shared" si="2"/>
        <v>0</v>
      </c>
      <c r="AL14" s="1">
        <f t="shared" si="3"/>
        <v>0</v>
      </c>
    </row>
    <row r="15" spans="2:38" x14ac:dyDescent="0.35">
      <c r="B15" s="1" t="s">
        <v>14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I15" s="1">
        <f t="shared" si="0"/>
        <v>0</v>
      </c>
      <c r="AJ15" s="1">
        <f t="shared" si="1"/>
        <v>0</v>
      </c>
      <c r="AK15" s="1">
        <f t="shared" si="2"/>
        <v>0</v>
      </c>
      <c r="AL15" s="1">
        <f t="shared" si="3"/>
        <v>0</v>
      </c>
    </row>
    <row r="16" spans="2:38" x14ac:dyDescent="0.35">
      <c r="B16" s="1" t="s">
        <v>15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I16" s="1">
        <f t="shared" si="0"/>
        <v>0</v>
      </c>
      <c r="AJ16" s="1">
        <f t="shared" si="1"/>
        <v>0</v>
      </c>
      <c r="AK16" s="1">
        <f t="shared" si="2"/>
        <v>0</v>
      </c>
      <c r="AL16" s="1">
        <f t="shared" si="3"/>
        <v>0</v>
      </c>
    </row>
    <row r="17" spans="2:38" x14ac:dyDescent="0.35">
      <c r="B17" s="1" t="s">
        <v>16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I17" s="1">
        <f t="shared" si="0"/>
        <v>0</v>
      </c>
      <c r="AJ17" s="1">
        <f t="shared" si="1"/>
        <v>0</v>
      </c>
      <c r="AK17" s="1">
        <f t="shared" si="2"/>
        <v>0</v>
      </c>
      <c r="AL17" s="1">
        <f t="shared" si="3"/>
        <v>0</v>
      </c>
    </row>
    <row r="18" spans="2:38" x14ac:dyDescent="0.35">
      <c r="B18" s="1" t="s">
        <v>17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I18" s="1">
        <f t="shared" si="0"/>
        <v>0</v>
      </c>
      <c r="AJ18" s="1">
        <f t="shared" si="1"/>
        <v>0</v>
      </c>
      <c r="AK18" s="1">
        <f t="shared" si="2"/>
        <v>0</v>
      </c>
      <c r="AL18" s="1">
        <f t="shared" si="3"/>
        <v>0</v>
      </c>
    </row>
    <row r="19" spans="2:38" x14ac:dyDescent="0.35">
      <c r="B19" s="1" t="s">
        <v>18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I19" s="1">
        <f t="shared" si="0"/>
        <v>0</v>
      </c>
      <c r="AJ19" s="1">
        <f t="shared" si="1"/>
        <v>0</v>
      </c>
      <c r="AK19" s="1">
        <f t="shared" si="2"/>
        <v>0</v>
      </c>
      <c r="AL19" s="1">
        <f t="shared" si="3"/>
        <v>0</v>
      </c>
    </row>
    <row r="20" spans="2:38" x14ac:dyDescent="0.35">
      <c r="B20" s="1" t="s">
        <v>19</v>
      </c>
      <c r="C20" s="12">
        <f>COUNTA(C11:C19)</f>
        <v>0</v>
      </c>
      <c r="D20" s="12">
        <f t="shared" ref="D20:AG20" si="4">COUNTA(D11:D19)</f>
        <v>0</v>
      </c>
      <c r="E20" s="12">
        <f t="shared" si="4"/>
        <v>0</v>
      </c>
      <c r="F20" s="12">
        <f t="shared" si="4"/>
        <v>0</v>
      </c>
      <c r="G20" s="12">
        <f t="shared" si="4"/>
        <v>0</v>
      </c>
      <c r="H20" s="12">
        <f t="shared" si="4"/>
        <v>0</v>
      </c>
      <c r="I20" s="12">
        <f t="shared" si="4"/>
        <v>0</v>
      </c>
      <c r="J20" s="12">
        <f t="shared" si="4"/>
        <v>0</v>
      </c>
      <c r="K20" s="12">
        <f t="shared" si="4"/>
        <v>0</v>
      </c>
      <c r="L20" s="12">
        <f t="shared" si="4"/>
        <v>0</v>
      </c>
      <c r="M20" s="12">
        <f t="shared" si="4"/>
        <v>0</v>
      </c>
      <c r="N20" s="12">
        <f t="shared" si="4"/>
        <v>0</v>
      </c>
      <c r="O20" s="12">
        <f t="shared" si="4"/>
        <v>0</v>
      </c>
      <c r="P20" s="12">
        <f t="shared" si="4"/>
        <v>0</v>
      </c>
      <c r="Q20" s="12">
        <f t="shared" si="4"/>
        <v>0</v>
      </c>
      <c r="R20" s="12">
        <f t="shared" si="4"/>
        <v>0</v>
      </c>
      <c r="S20" s="12">
        <f t="shared" si="4"/>
        <v>0</v>
      </c>
      <c r="T20" s="12">
        <f t="shared" si="4"/>
        <v>0</v>
      </c>
      <c r="U20" s="12">
        <f t="shared" si="4"/>
        <v>0</v>
      </c>
      <c r="V20" s="12">
        <f t="shared" si="4"/>
        <v>0</v>
      </c>
      <c r="W20" s="12">
        <f t="shared" si="4"/>
        <v>0</v>
      </c>
      <c r="X20" s="12">
        <f t="shared" si="4"/>
        <v>0</v>
      </c>
      <c r="Y20" s="12">
        <f t="shared" si="4"/>
        <v>0</v>
      </c>
      <c r="Z20" s="12">
        <f t="shared" si="4"/>
        <v>0</v>
      </c>
      <c r="AA20" s="12">
        <f t="shared" si="4"/>
        <v>0</v>
      </c>
      <c r="AB20" s="12">
        <f t="shared" si="4"/>
        <v>0</v>
      </c>
      <c r="AC20" s="12">
        <f t="shared" si="4"/>
        <v>0</v>
      </c>
      <c r="AD20" s="12">
        <f t="shared" si="4"/>
        <v>0</v>
      </c>
      <c r="AE20" s="12">
        <f t="shared" si="4"/>
        <v>0</v>
      </c>
      <c r="AF20" s="12">
        <f t="shared" si="4"/>
        <v>0</v>
      </c>
      <c r="AG20" s="12">
        <f t="shared" si="4"/>
        <v>0</v>
      </c>
    </row>
    <row r="21" spans="2:38" x14ac:dyDescent="0.35">
      <c r="B21" s="15" t="s">
        <v>22</v>
      </c>
      <c r="C21" s="14" t="str" cm="1">
        <f t="array" ref="C21">IF(MIN(COUNTIF(C11:C19,{"M","A","N"}))&lt;=0,"Missing","")</f>
        <v>Missing</v>
      </c>
      <c r="D21" s="14" t="str" cm="1">
        <f t="array" ref="D21">IF(MIN(COUNTIF(D11:D19,{"M","A","N"}))&lt;=0,"Missing","")</f>
        <v>Missing</v>
      </c>
      <c r="E21" s="14" t="str" cm="1">
        <f t="array" ref="E21">IF(MIN(COUNTIF(E11:E19,{"M","A","N"}))&lt;=0,"Missing","")</f>
        <v>Missing</v>
      </c>
      <c r="F21" s="14" t="str" cm="1">
        <f t="array" ref="F21">IF(MIN(COUNTIF(F11:F19,{"M","A","N"}))&lt;=0,"Missing","")</f>
        <v>Missing</v>
      </c>
      <c r="G21" s="14" t="str" cm="1">
        <f t="array" ref="G21">IF(MIN(COUNTIF(G11:G19,{"M","A","N"}))&lt;=0,"Missing","")</f>
        <v>Missing</v>
      </c>
      <c r="H21" s="14" t="str" cm="1">
        <f t="array" ref="H21">IF(MIN(COUNTIF(H11:H19,{"M","A","N"}))&lt;=0,"Missing","")</f>
        <v>Missing</v>
      </c>
      <c r="I21" s="14" t="str" cm="1">
        <f t="array" ref="I21">IF(MIN(COUNTIF(I11:I19,{"M","A","N"}))&lt;=0,"Missing","")</f>
        <v>Missing</v>
      </c>
      <c r="J21" s="14" t="str" cm="1">
        <f t="array" ref="J21">IF(MIN(COUNTIF(J11:J19,{"M","A","N"}))&lt;=0,"Missing","")</f>
        <v>Missing</v>
      </c>
      <c r="K21" s="14" t="str" cm="1">
        <f t="array" ref="K21">IF(MIN(COUNTIF(K11:K19,{"M","A","N"}))&lt;=0,"Missing","")</f>
        <v>Missing</v>
      </c>
      <c r="L21" s="14" t="str" cm="1">
        <f t="array" ref="L21">IF(MIN(COUNTIF(L11:L19,{"M","A","N"}))&lt;=0,"Missing","")</f>
        <v>Missing</v>
      </c>
      <c r="M21" s="14" t="str" cm="1">
        <f t="array" ref="M21">IF(MIN(COUNTIF(M11:M19,{"M","A","N"}))&lt;=0,"Missing","")</f>
        <v>Missing</v>
      </c>
      <c r="N21" s="14" t="str" cm="1">
        <f t="array" ref="N21">IF(MIN(COUNTIF(N11:N19,{"M","A","N"}))&lt;=0,"Missing","")</f>
        <v>Missing</v>
      </c>
      <c r="O21" s="14" t="str" cm="1">
        <f t="array" ref="O21">IF(MIN(COUNTIF(O11:O19,{"M","A","N"}))&lt;=0,"Missing","")</f>
        <v>Missing</v>
      </c>
      <c r="P21" s="14" t="str" cm="1">
        <f t="array" ref="P21">IF(MIN(COUNTIF(P11:P19,{"M","A","N"}))&lt;=0,"Missing","")</f>
        <v>Missing</v>
      </c>
      <c r="Q21" s="14" t="str" cm="1">
        <f t="array" ref="Q21">IF(MIN(COUNTIF(Q11:Q19,{"M","A","N"}))&lt;=0,"Missing","")</f>
        <v>Missing</v>
      </c>
      <c r="R21" s="14" t="str" cm="1">
        <f t="array" ref="R21">IF(MIN(COUNTIF(R11:R19,{"M","A","N"}))&lt;=0,"Missing","")</f>
        <v>Missing</v>
      </c>
      <c r="S21" s="14" t="str" cm="1">
        <f t="array" ref="S21">IF(MIN(COUNTIF(S11:S19,{"M","A","N"}))&lt;=0,"Missing","")</f>
        <v>Missing</v>
      </c>
      <c r="T21" s="14" t="str" cm="1">
        <f t="array" ref="T21">IF(MIN(COUNTIF(T11:T19,{"M","A","N"}))&lt;=0,"Missing","")</f>
        <v>Missing</v>
      </c>
      <c r="U21" s="14" t="str" cm="1">
        <f t="array" ref="U21">IF(MIN(COUNTIF(U11:U19,{"M","A","N"}))&lt;=0,"Missing","")</f>
        <v>Missing</v>
      </c>
      <c r="V21" s="14" t="str" cm="1">
        <f t="array" ref="V21">IF(MIN(COUNTIF(V11:V19,{"M","A","N"}))&lt;=0,"Missing","")</f>
        <v>Missing</v>
      </c>
      <c r="W21" s="14" t="str" cm="1">
        <f t="array" ref="W21">IF(MIN(COUNTIF(W11:W19,{"M","A","N"}))&lt;=0,"Missing","")</f>
        <v>Missing</v>
      </c>
      <c r="X21" s="14" t="str" cm="1">
        <f t="array" ref="X21">IF(MIN(COUNTIF(X11:X19,{"M","A","N"}))&lt;=0,"Missing","")</f>
        <v>Missing</v>
      </c>
      <c r="Y21" s="14" t="str" cm="1">
        <f t="array" ref="Y21">IF(MIN(COUNTIF(Y11:Y19,{"M","A","N"}))&lt;=0,"Missing","")</f>
        <v>Missing</v>
      </c>
      <c r="Z21" s="14" t="str" cm="1">
        <f t="array" ref="Z21">IF(MIN(COUNTIF(Z11:Z19,{"M","A","N"}))&lt;=0,"Missing","")</f>
        <v>Missing</v>
      </c>
      <c r="AA21" s="14" t="str" cm="1">
        <f t="array" ref="AA21">IF(MIN(COUNTIF(AA11:AA19,{"M","A","N"}))&lt;=0,"Missing","")</f>
        <v>Missing</v>
      </c>
      <c r="AB21" s="14" t="str" cm="1">
        <f t="array" ref="AB21">IF(MIN(COUNTIF(AB11:AB19,{"M","A","N"}))&lt;=0,"Missing","")</f>
        <v>Missing</v>
      </c>
      <c r="AC21" s="14" t="str" cm="1">
        <f t="array" ref="AC21">IF(MIN(COUNTIF(AC11:AC19,{"M","A","N"}))&lt;=0,"Missing","")</f>
        <v>Missing</v>
      </c>
      <c r="AD21" s="14" t="str" cm="1">
        <f t="array" ref="AD21">IF(MIN(COUNTIF(AD11:AD19,{"M","A","N"}))&lt;=0,"Missing","")</f>
        <v>Missing</v>
      </c>
      <c r="AE21" s="14" t="str" cm="1">
        <f t="array" ref="AE21">IF(MIN(COUNTIF(AE11:AE19,{"M","A","N"}))&lt;=0,"Missing","")</f>
        <v>Missing</v>
      </c>
      <c r="AF21" s="14" t="str" cm="1">
        <f t="array" ref="AF21">IF(MIN(COUNTIF(AF11:AF19,{"M","A","N"}))&lt;=0,"Missing","")</f>
        <v>Missing</v>
      </c>
      <c r="AG21" s="14" t="str" cm="1">
        <f t="array" ref="AG21">IF(MIN(COUNTIF(AG11:AG19,{"M","A","N"}))&lt;=0,"Missing","")</f>
        <v>Missing</v>
      </c>
    </row>
    <row r="22" spans="2:38" x14ac:dyDescent="0.35">
      <c r="C22" s="13">
        <v>9</v>
      </c>
      <c r="D22" s="13">
        <v>9</v>
      </c>
      <c r="E22" s="13">
        <v>9</v>
      </c>
      <c r="F22" s="13">
        <v>9</v>
      </c>
      <c r="G22" s="13">
        <v>9</v>
      </c>
      <c r="H22" s="13">
        <v>9</v>
      </c>
      <c r="I22" s="13">
        <v>9</v>
      </c>
      <c r="J22" s="13">
        <v>9</v>
      </c>
      <c r="K22" s="13">
        <v>9</v>
      </c>
      <c r="L22" s="13">
        <v>9</v>
      </c>
      <c r="M22" s="13">
        <v>9</v>
      </c>
      <c r="N22" s="13">
        <v>9</v>
      </c>
      <c r="O22" s="13">
        <v>9</v>
      </c>
      <c r="P22" s="13">
        <v>9</v>
      </c>
      <c r="Q22" s="13">
        <v>9</v>
      </c>
      <c r="R22" s="13">
        <v>9</v>
      </c>
      <c r="S22" s="13">
        <v>9</v>
      </c>
      <c r="T22" s="13">
        <v>9</v>
      </c>
      <c r="U22" s="13">
        <v>9</v>
      </c>
      <c r="V22" s="13">
        <v>9</v>
      </c>
      <c r="W22" s="13">
        <v>9</v>
      </c>
      <c r="X22" s="13">
        <v>9</v>
      </c>
      <c r="Y22" s="13">
        <v>9</v>
      </c>
      <c r="Z22" s="13">
        <v>9</v>
      </c>
      <c r="AA22" s="13">
        <v>9</v>
      </c>
      <c r="AB22" s="13">
        <v>9</v>
      </c>
      <c r="AC22" s="13">
        <v>9</v>
      </c>
      <c r="AD22" s="13">
        <v>9</v>
      </c>
      <c r="AE22" s="13">
        <v>9</v>
      </c>
      <c r="AF22" s="13">
        <v>9</v>
      </c>
      <c r="AG22" s="13">
        <v>9</v>
      </c>
    </row>
  </sheetData>
  <mergeCells count="2">
    <mergeCell ref="C2:H2"/>
    <mergeCell ref="AI9:AL9"/>
  </mergeCells>
  <conditionalFormatting sqref="C11:AG19">
    <cfRule type="cellIs" dxfId="9" priority="4" operator="equal">
      <formula>"N"</formula>
    </cfRule>
    <cfRule type="cellIs" dxfId="8" priority="5" operator="equal">
      <formula>"A"</formula>
    </cfRule>
    <cfRule type="cellIs" dxfId="7" priority="6" operator="equal">
      <formula>"M"</formula>
    </cfRule>
  </conditionalFormatting>
  <conditionalFormatting sqref="C21:AG21">
    <cfRule type="cellIs" dxfId="6" priority="1" operator="equal">
      <formula>"Missing"</formula>
    </cfRule>
  </conditionalFormatting>
  <conditionalFormatting sqref="AI11:AK19">
    <cfRule type="cellIs" dxfId="5" priority="2" operator="equal">
      <formula>0</formula>
    </cfRule>
  </conditionalFormatting>
  <conditionalFormatting sqref="AL11:AL19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{26FFC557-FF76-488F-B509-FA4CCF517959}</x14:id>
        </ext>
      </extLst>
    </cfRule>
  </conditionalFormatting>
  <dataValidations count="1">
    <dataValidation type="list" allowBlank="1" showInputMessage="1" showErrorMessage="1" sqref="C11:AG19" xr:uid="{94C7E724-7E11-4968-9CE4-DBC7A49965F1}">
      <formula1>$D$6:$D$8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FFC557-FF76-488F-B509-FA4CCF51795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AL11:AL19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D2C5-35BC-4171-B69B-AA248CBCF009}">
  <dimension ref="B2:AL22"/>
  <sheetViews>
    <sheetView showGridLines="0" tabSelected="1" zoomScale="55" zoomScaleNormal="55" workbookViewId="0">
      <pane xSplit="2" ySplit="10" topLeftCell="C11" activePane="bottomRight" state="frozen"/>
      <selection activeCell="AK22" sqref="AK22"/>
      <selection pane="topRight" activeCell="AK22" sqref="AK22"/>
      <selection pane="bottomLeft" activeCell="AK22" sqref="AK22"/>
      <selection pane="bottomRight" activeCell="AS23" sqref="AS23"/>
    </sheetView>
  </sheetViews>
  <sheetFormatPr defaultRowHeight="14.5" x14ac:dyDescent="0.35"/>
  <cols>
    <col min="2" max="2" width="10" bestFit="1" customWidth="1"/>
    <col min="3" max="33" width="7.6328125" customWidth="1"/>
    <col min="34" max="34" width="5.26953125" customWidth="1"/>
  </cols>
  <sheetData>
    <row r="2" spans="2:38" ht="21" x14ac:dyDescent="0.5">
      <c r="C2" s="17" t="str">
        <f>"Employee Shift Tracker " &amp; TEXT(B6,"mmm yyy")</f>
        <v>Employee Shift Tracker Jan 2026</v>
      </c>
      <c r="D2" s="17"/>
      <c r="E2" s="17"/>
      <c r="F2" s="17"/>
      <c r="G2" s="17"/>
      <c r="H2" s="17"/>
    </row>
    <row r="5" spans="2:38" ht="16" x14ac:dyDescent="0.35">
      <c r="B5" s="3" t="s">
        <v>0</v>
      </c>
      <c r="D5" s="8" t="s">
        <v>1</v>
      </c>
      <c r="E5" s="8" t="s">
        <v>2</v>
      </c>
    </row>
    <row r="6" spans="2:38" x14ac:dyDescent="0.35">
      <c r="B6" s="11">
        <v>46023</v>
      </c>
      <c r="D6" s="4" t="s">
        <v>3</v>
      </c>
      <c r="E6" s="4" t="s">
        <v>4</v>
      </c>
    </row>
    <row r="7" spans="2:38" x14ac:dyDescent="0.35">
      <c r="D7" s="5" t="s">
        <v>5</v>
      </c>
      <c r="E7" s="5" t="s">
        <v>6</v>
      </c>
    </row>
    <row r="8" spans="2:38" x14ac:dyDescent="0.35">
      <c r="D8" s="6" t="s">
        <v>7</v>
      </c>
      <c r="E8" s="6" t="s">
        <v>8</v>
      </c>
    </row>
    <row r="9" spans="2:38" x14ac:dyDescent="0.35">
      <c r="AI9" s="18" t="s">
        <v>20</v>
      </c>
      <c r="AJ9" s="18"/>
      <c r="AK9" s="18"/>
      <c r="AL9" s="18"/>
    </row>
    <row r="10" spans="2:38" ht="29" x14ac:dyDescent="0.35">
      <c r="B10" s="9" t="s">
        <v>9</v>
      </c>
      <c r="C10" s="10" cm="1">
        <f t="array" ref="C10:AG10">_xlfn.SEQUENCE(1,EOMONTH(B6,0)-B6+1)</f>
        <v>1</v>
      </c>
      <c r="D10" s="10">
        <v>2</v>
      </c>
      <c r="E10" s="10">
        <v>3</v>
      </c>
      <c r="F10" s="10">
        <v>4</v>
      </c>
      <c r="G10" s="10">
        <v>5</v>
      </c>
      <c r="H10" s="10">
        <v>6</v>
      </c>
      <c r="I10" s="10">
        <v>7</v>
      </c>
      <c r="J10" s="10">
        <v>8</v>
      </c>
      <c r="K10" s="10">
        <v>9</v>
      </c>
      <c r="L10" s="10">
        <v>10</v>
      </c>
      <c r="M10" s="10">
        <v>11</v>
      </c>
      <c r="N10" s="10">
        <v>12</v>
      </c>
      <c r="O10" s="10">
        <v>13</v>
      </c>
      <c r="P10" s="10">
        <v>14</v>
      </c>
      <c r="Q10" s="10">
        <v>15</v>
      </c>
      <c r="R10" s="10">
        <v>16</v>
      </c>
      <c r="S10" s="10">
        <v>17</v>
      </c>
      <c r="T10" s="10">
        <v>18</v>
      </c>
      <c r="U10" s="10">
        <v>19</v>
      </c>
      <c r="V10" s="10">
        <v>20</v>
      </c>
      <c r="W10" s="10">
        <v>21</v>
      </c>
      <c r="X10" s="10">
        <v>22</v>
      </c>
      <c r="Y10" s="10">
        <v>23</v>
      </c>
      <c r="Z10" s="10">
        <v>24</v>
      </c>
      <c r="AA10" s="10">
        <v>25</v>
      </c>
      <c r="AB10" s="10">
        <v>26</v>
      </c>
      <c r="AC10" s="10">
        <v>27</v>
      </c>
      <c r="AD10" s="10">
        <v>28</v>
      </c>
      <c r="AE10" s="10">
        <v>29</v>
      </c>
      <c r="AF10" s="10">
        <v>30</v>
      </c>
      <c r="AG10" s="10">
        <v>31</v>
      </c>
      <c r="AI10" s="7" t="s">
        <v>3</v>
      </c>
      <c r="AJ10" s="7" t="s">
        <v>5</v>
      </c>
      <c r="AK10" s="7" t="s">
        <v>7</v>
      </c>
      <c r="AL10" s="7" t="s">
        <v>21</v>
      </c>
    </row>
    <row r="11" spans="2:38" ht="16" x14ac:dyDescent="0.35">
      <c r="B11" s="1" t="s">
        <v>10</v>
      </c>
      <c r="C11" s="2" t="s">
        <v>3</v>
      </c>
      <c r="D11" s="2" t="s">
        <v>3</v>
      </c>
      <c r="E11" s="2" t="s">
        <v>3</v>
      </c>
      <c r="F11" s="2" t="s">
        <v>3</v>
      </c>
      <c r="G11" s="2" t="s">
        <v>3</v>
      </c>
      <c r="H11" s="2" t="s">
        <v>3</v>
      </c>
      <c r="I11" s="2" t="s">
        <v>3</v>
      </c>
      <c r="J11" s="2" t="s">
        <v>5</v>
      </c>
      <c r="K11" s="2" t="s">
        <v>5</v>
      </c>
      <c r="L11" s="2" t="s">
        <v>5</v>
      </c>
      <c r="M11" s="2" t="s">
        <v>5</v>
      </c>
      <c r="N11" s="2" t="s">
        <v>5</v>
      </c>
      <c r="O11" s="2" t="s">
        <v>5</v>
      </c>
      <c r="P11" s="2" t="s">
        <v>5</v>
      </c>
      <c r="Q11" s="2"/>
      <c r="R11" s="2" t="s">
        <v>3</v>
      </c>
      <c r="S11" s="2"/>
      <c r="T11" s="2"/>
      <c r="U11" s="2" t="s">
        <v>3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 t="s">
        <v>3</v>
      </c>
      <c r="AI11" s="1">
        <f>COUNTIF(C11:AG11,"M")</f>
        <v>10</v>
      </c>
      <c r="AJ11" s="1">
        <f>COUNTIF(C11:AG11,"A")</f>
        <v>7</v>
      </c>
      <c r="AK11" s="1">
        <f>COUNTIF(C11:AG11,"N")</f>
        <v>0</v>
      </c>
      <c r="AL11" s="16">
        <f>SUM(AI11:AK11)</f>
        <v>17</v>
      </c>
    </row>
    <row r="12" spans="2:38" ht="16" x14ac:dyDescent="0.35">
      <c r="B12" s="1" t="s">
        <v>11</v>
      </c>
      <c r="C12" s="2" t="s">
        <v>3</v>
      </c>
      <c r="D12" s="2" t="s">
        <v>3</v>
      </c>
      <c r="E12" s="2" t="s">
        <v>3</v>
      </c>
      <c r="F12" s="2" t="s">
        <v>3</v>
      </c>
      <c r="G12" s="2" t="s">
        <v>3</v>
      </c>
      <c r="H12" s="2" t="s">
        <v>3</v>
      </c>
      <c r="I12" s="2" t="s">
        <v>3</v>
      </c>
      <c r="J12" s="2" t="s">
        <v>5</v>
      </c>
      <c r="K12" s="2" t="s">
        <v>5</v>
      </c>
      <c r="L12" s="2" t="s">
        <v>5</v>
      </c>
      <c r="M12" s="2" t="s">
        <v>5</v>
      </c>
      <c r="N12" s="2" t="s">
        <v>5</v>
      </c>
      <c r="O12" s="2" t="s">
        <v>5</v>
      </c>
      <c r="P12" s="2"/>
      <c r="Q12" s="2" t="s">
        <v>5</v>
      </c>
      <c r="R12" s="2" t="s">
        <v>3</v>
      </c>
      <c r="S12" s="2" t="s">
        <v>7</v>
      </c>
      <c r="T12" s="2"/>
      <c r="U12" s="2"/>
      <c r="V12" s="2"/>
      <c r="W12" s="2" t="s">
        <v>7</v>
      </c>
      <c r="X12" s="2"/>
      <c r="Y12" s="2"/>
      <c r="Z12" s="2"/>
      <c r="AA12" s="2"/>
      <c r="AB12" s="2"/>
      <c r="AC12" s="2"/>
      <c r="AD12" s="2"/>
      <c r="AE12" s="2" t="s">
        <v>7</v>
      </c>
      <c r="AF12" s="2"/>
      <c r="AG12" s="2"/>
      <c r="AI12" s="1">
        <f t="shared" ref="AI12:AI19" si="0">COUNTIF(C12:AG12,"M")</f>
        <v>8</v>
      </c>
      <c r="AJ12" s="1">
        <f t="shared" ref="AJ12:AJ19" si="1">COUNTIF(C12:AG12,"A")</f>
        <v>7</v>
      </c>
      <c r="AK12" s="1">
        <f t="shared" ref="AK12:AK19" si="2">COUNTIF(C12:AG12,"N")</f>
        <v>3</v>
      </c>
      <c r="AL12" s="16">
        <f t="shared" ref="AL12:AL19" si="3">SUM(AI12:AK12)</f>
        <v>18</v>
      </c>
    </row>
    <row r="13" spans="2:38" ht="16" x14ac:dyDescent="0.35">
      <c r="B13" s="1" t="s">
        <v>12</v>
      </c>
      <c r="C13" s="2" t="s">
        <v>3</v>
      </c>
      <c r="D13" s="2" t="s">
        <v>3</v>
      </c>
      <c r="E13" s="2" t="s">
        <v>3</v>
      </c>
      <c r="F13" s="2" t="s">
        <v>3</v>
      </c>
      <c r="G13" s="2" t="s">
        <v>3</v>
      </c>
      <c r="H13" s="2" t="s">
        <v>3</v>
      </c>
      <c r="I13" s="2" t="s">
        <v>3</v>
      </c>
      <c r="J13" s="2" t="s">
        <v>5</v>
      </c>
      <c r="K13" s="2" t="s">
        <v>5</v>
      </c>
      <c r="L13" s="2" t="s">
        <v>5</v>
      </c>
      <c r="M13" s="2" t="s">
        <v>5</v>
      </c>
      <c r="N13" s="2" t="s">
        <v>5</v>
      </c>
      <c r="O13" s="2" t="s">
        <v>5</v>
      </c>
      <c r="P13" s="2" t="s">
        <v>5</v>
      </c>
      <c r="Q13" s="2" t="s">
        <v>5</v>
      </c>
      <c r="R13" s="2" t="s">
        <v>5</v>
      </c>
      <c r="S13" s="2"/>
      <c r="T13" s="2"/>
      <c r="U13" s="2" t="s">
        <v>3</v>
      </c>
      <c r="V13" s="2"/>
      <c r="W13" s="2"/>
      <c r="X13" s="2"/>
      <c r="Y13" s="2" t="s">
        <v>5</v>
      </c>
      <c r="Z13" s="2"/>
      <c r="AA13" s="2"/>
      <c r="AB13" s="2"/>
      <c r="AC13" s="2" t="s">
        <v>5</v>
      </c>
      <c r="AD13" s="2"/>
      <c r="AE13" s="2"/>
      <c r="AF13" s="2"/>
      <c r="AG13" s="2" t="s">
        <v>7</v>
      </c>
      <c r="AI13" s="1">
        <f t="shared" si="0"/>
        <v>8</v>
      </c>
      <c r="AJ13" s="1">
        <f t="shared" si="1"/>
        <v>11</v>
      </c>
      <c r="AK13" s="1">
        <f t="shared" si="2"/>
        <v>1</v>
      </c>
      <c r="AL13" s="16">
        <f t="shared" si="3"/>
        <v>20</v>
      </c>
    </row>
    <row r="14" spans="2:38" ht="16" x14ac:dyDescent="0.35">
      <c r="B14" s="1" t="s">
        <v>13</v>
      </c>
      <c r="C14" s="2" t="s">
        <v>5</v>
      </c>
      <c r="D14" s="2"/>
      <c r="E14" s="2" t="s">
        <v>5</v>
      </c>
      <c r="F14" s="2" t="s">
        <v>5</v>
      </c>
      <c r="G14" s="2"/>
      <c r="H14" s="2" t="s">
        <v>5</v>
      </c>
      <c r="I14" s="2" t="s">
        <v>5</v>
      </c>
      <c r="J14" s="2"/>
      <c r="K14" s="2" t="s">
        <v>5</v>
      </c>
      <c r="L14" s="2" t="s">
        <v>7</v>
      </c>
      <c r="M14" s="2" t="s">
        <v>7</v>
      </c>
      <c r="N14" s="2" t="s">
        <v>7</v>
      </c>
      <c r="O14" s="2" t="s">
        <v>7</v>
      </c>
      <c r="P14" s="2" t="s">
        <v>7</v>
      </c>
      <c r="Q14" s="2"/>
      <c r="R14" s="2" t="s">
        <v>5</v>
      </c>
      <c r="S14" s="2" t="s">
        <v>5</v>
      </c>
      <c r="T14" s="2"/>
      <c r="U14" s="2"/>
      <c r="V14" s="2" t="s">
        <v>5</v>
      </c>
      <c r="W14" s="2"/>
      <c r="X14" s="2"/>
      <c r="Y14" s="2"/>
      <c r="Z14" s="2"/>
      <c r="AA14" s="2" t="s">
        <v>3</v>
      </c>
      <c r="AB14" s="2"/>
      <c r="AC14" s="2"/>
      <c r="AD14" s="2"/>
      <c r="AE14" s="2"/>
      <c r="AF14" s="2" t="s">
        <v>5</v>
      </c>
      <c r="AG14" s="2"/>
      <c r="AI14" s="1">
        <f t="shared" si="0"/>
        <v>1</v>
      </c>
      <c r="AJ14" s="1">
        <f t="shared" si="1"/>
        <v>10</v>
      </c>
      <c r="AK14" s="1">
        <f t="shared" si="2"/>
        <v>5</v>
      </c>
      <c r="AL14" s="16">
        <f t="shared" si="3"/>
        <v>16</v>
      </c>
    </row>
    <row r="15" spans="2:38" ht="16" x14ac:dyDescent="0.35">
      <c r="B15" s="1" t="s">
        <v>14</v>
      </c>
      <c r="C15" s="2" t="s">
        <v>5</v>
      </c>
      <c r="D15" s="2" t="s">
        <v>5</v>
      </c>
      <c r="E15" s="2" t="s">
        <v>5</v>
      </c>
      <c r="F15" s="2" t="s">
        <v>5</v>
      </c>
      <c r="G15" s="2" t="s">
        <v>5</v>
      </c>
      <c r="H15" s="2"/>
      <c r="I15" s="2" t="s">
        <v>5</v>
      </c>
      <c r="J15" s="2" t="s">
        <v>7</v>
      </c>
      <c r="K15" s="2" t="s">
        <v>7</v>
      </c>
      <c r="L15" s="2" t="s">
        <v>7</v>
      </c>
      <c r="M15" s="2" t="s">
        <v>7</v>
      </c>
      <c r="N15" s="2" t="s">
        <v>7</v>
      </c>
      <c r="O15" s="2" t="s">
        <v>7</v>
      </c>
      <c r="P15" s="2"/>
      <c r="Q15" s="2" t="s">
        <v>7</v>
      </c>
      <c r="R15" s="2" t="s">
        <v>7</v>
      </c>
      <c r="S15" s="2"/>
      <c r="T15" s="2"/>
      <c r="U15" s="2"/>
      <c r="V15" s="2"/>
      <c r="W15" s="2" t="s">
        <v>7</v>
      </c>
      <c r="X15" s="2"/>
      <c r="Y15" s="2"/>
      <c r="Z15" s="2"/>
      <c r="AA15" s="2"/>
      <c r="AB15" s="2"/>
      <c r="AC15" s="2"/>
      <c r="AD15" s="2"/>
      <c r="AE15" s="2" t="s">
        <v>7</v>
      </c>
      <c r="AF15" s="2"/>
      <c r="AG15" s="2"/>
      <c r="AI15" s="1">
        <f t="shared" si="0"/>
        <v>0</v>
      </c>
      <c r="AJ15" s="1">
        <f t="shared" si="1"/>
        <v>6</v>
      </c>
      <c r="AK15" s="1">
        <f t="shared" si="2"/>
        <v>10</v>
      </c>
      <c r="AL15" s="16">
        <f t="shared" si="3"/>
        <v>16</v>
      </c>
    </row>
    <row r="16" spans="2:38" ht="16" x14ac:dyDescent="0.35">
      <c r="B16" s="1" t="s">
        <v>15</v>
      </c>
      <c r="C16" s="2" t="s">
        <v>7</v>
      </c>
      <c r="D16" s="2" t="s">
        <v>7</v>
      </c>
      <c r="E16" s="2" t="s">
        <v>7</v>
      </c>
      <c r="F16" s="2" t="s">
        <v>7</v>
      </c>
      <c r="G16" s="2" t="s">
        <v>7</v>
      </c>
      <c r="H16" s="2"/>
      <c r="I16" s="2" t="s">
        <v>7</v>
      </c>
      <c r="J16" s="2" t="s">
        <v>7</v>
      </c>
      <c r="K16" s="2"/>
      <c r="L16" s="2" t="s">
        <v>7</v>
      </c>
      <c r="M16" s="2"/>
      <c r="N16" s="2" t="s">
        <v>7</v>
      </c>
      <c r="O16" s="2"/>
      <c r="P16" s="2" t="s">
        <v>7</v>
      </c>
      <c r="Q16" s="2" t="s">
        <v>7</v>
      </c>
      <c r="R16" s="2" t="s">
        <v>7</v>
      </c>
      <c r="S16" s="2" t="s">
        <v>3</v>
      </c>
      <c r="T16" s="2"/>
      <c r="U16" s="2"/>
      <c r="V16" s="2"/>
      <c r="W16" s="2"/>
      <c r="X16" s="2" t="s">
        <v>3</v>
      </c>
      <c r="Y16" s="2"/>
      <c r="Z16" s="2"/>
      <c r="AA16" s="2"/>
      <c r="AB16" s="2"/>
      <c r="AC16" s="2"/>
      <c r="AD16" s="2" t="s">
        <v>3</v>
      </c>
      <c r="AE16" s="2"/>
      <c r="AF16" s="2"/>
      <c r="AG16" s="2"/>
      <c r="AI16" s="1">
        <f t="shared" si="0"/>
        <v>3</v>
      </c>
      <c r="AJ16" s="1">
        <f t="shared" si="1"/>
        <v>0</v>
      </c>
      <c r="AK16" s="1">
        <f t="shared" si="2"/>
        <v>12</v>
      </c>
      <c r="AL16" s="16">
        <f t="shared" si="3"/>
        <v>15</v>
      </c>
    </row>
    <row r="17" spans="2:38" ht="16" x14ac:dyDescent="0.35">
      <c r="B17" s="1" t="s">
        <v>16</v>
      </c>
      <c r="C17" s="2" t="s">
        <v>5</v>
      </c>
      <c r="D17" s="2" t="s">
        <v>5</v>
      </c>
      <c r="E17" s="2" t="s">
        <v>5</v>
      </c>
      <c r="F17" s="2" t="s">
        <v>5</v>
      </c>
      <c r="G17" s="2"/>
      <c r="H17" s="2" t="s">
        <v>5</v>
      </c>
      <c r="I17" s="2" t="s">
        <v>5</v>
      </c>
      <c r="J17" s="2" t="s">
        <v>3</v>
      </c>
      <c r="K17" s="2"/>
      <c r="L17" s="2" t="s">
        <v>3</v>
      </c>
      <c r="M17" s="2" t="s">
        <v>3</v>
      </c>
      <c r="N17" s="2"/>
      <c r="O17" s="2" t="s">
        <v>3</v>
      </c>
      <c r="P17" s="2" t="s">
        <v>3</v>
      </c>
      <c r="Q17" s="2" t="s">
        <v>3</v>
      </c>
      <c r="R17" s="2" t="s">
        <v>3</v>
      </c>
      <c r="S17" s="2" t="s">
        <v>7</v>
      </c>
      <c r="T17" s="2"/>
      <c r="U17" s="2"/>
      <c r="V17" s="2"/>
      <c r="W17" s="2"/>
      <c r="X17" s="2"/>
      <c r="Y17" s="2" t="s">
        <v>5</v>
      </c>
      <c r="Z17" s="2"/>
      <c r="AA17" s="2"/>
      <c r="AB17" s="2"/>
      <c r="AC17" s="2" t="s">
        <v>5</v>
      </c>
      <c r="AD17" s="2"/>
      <c r="AE17" s="2"/>
      <c r="AF17" s="2"/>
      <c r="AG17" s="2"/>
      <c r="AI17" s="1">
        <f t="shared" si="0"/>
        <v>7</v>
      </c>
      <c r="AJ17" s="1">
        <f t="shared" si="1"/>
        <v>8</v>
      </c>
      <c r="AK17" s="1">
        <f t="shared" si="2"/>
        <v>1</v>
      </c>
      <c r="AL17" s="16">
        <f t="shared" si="3"/>
        <v>16</v>
      </c>
    </row>
    <row r="18" spans="2:38" ht="16" x14ac:dyDescent="0.35">
      <c r="B18" s="1" t="s">
        <v>17</v>
      </c>
      <c r="C18" s="2" t="s">
        <v>7</v>
      </c>
      <c r="D18" s="2" t="s">
        <v>7</v>
      </c>
      <c r="E18" s="2" t="s">
        <v>7</v>
      </c>
      <c r="F18" s="2" t="s">
        <v>7</v>
      </c>
      <c r="G18" s="2"/>
      <c r="H18" s="2" t="s">
        <v>7</v>
      </c>
      <c r="I18" s="2" t="s">
        <v>7</v>
      </c>
      <c r="J18" s="2" t="s">
        <v>3</v>
      </c>
      <c r="K18" s="2"/>
      <c r="L18" s="2" t="s">
        <v>3</v>
      </c>
      <c r="M18" s="2" t="s">
        <v>3</v>
      </c>
      <c r="N18" s="2"/>
      <c r="O18" s="2"/>
      <c r="P18" s="2" t="s">
        <v>3</v>
      </c>
      <c r="Q18" s="2" t="s">
        <v>3</v>
      </c>
      <c r="R18" s="2" t="s">
        <v>5</v>
      </c>
      <c r="S18" s="2"/>
      <c r="T18" s="2"/>
      <c r="U18" s="2"/>
      <c r="V18" s="2"/>
      <c r="W18" s="2"/>
      <c r="X18" s="2"/>
      <c r="Y18" s="2"/>
      <c r="Z18" s="2" t="s">
        <v>7</v>
      </c>
      <c r="AA18" s="2"/>
      <c r="AB18" s="2" t="s">
        <v>7</v>
      </c>
      <c r="AC18" s="2"/>
      <c r="AD18" s="2"/>
      <c r="AE18" s="2"/>
      <c r="AF18" s="2"/>
      <c r="AG18" s="2"/>
      <c r="AI18" s="1">
        <f t="shared" si="0"/>
        <v>5</v>
      </c>
      <c r="AJ18" s="1">
        <f t="shared" si="1"/>
        <v>1</v>
      </c>
      <c r="AK18" s="1">
        <f t="shared" si="2"/>
        <v>8</v>
      </c>
      <c r="AL18" s="16">
        <f t="shared" si="3"/>
        <v>14</v>
      </c>
    </row>
    <row r="19" spans="2:38" ht="16" x14ac:dyDescent="0.35">
      <c r="B19" s="1" t="s">
        <v>18</v>
      </c>
      <c r="C19" s="2" t="s">
        <v>7</v>
      </c>
      <c r="D19" s="2" t="s">
        <v>7</v>
      </c>
      <c r="E19" s="2" t="s">
        <v>7</v>
      </c>
      <c r="F19" s="2" t="s">
        <v>7</v>
      </c>
      <c r="G19" s="2"/>
      <c r="H19" s="2" t="s">
        <v>7</v>
      </c>
      <c r="I19" s="2" t="s">
        <v>7</v>
      </c>
      <c r="J19" s="2" t="s">
        <v>3</v>
      </c>
      <c r="K19" s="2" t="s">
        <v>3</v>
      </c>
      <c r="L19" s="2" t="s">
        <v>3</v>
      </c>
      <c r="M19" s="2" t="s">
        <v>3</v>
      </c>
      <c r="N19" s="2" t="s">
        <v>3</v>
      </c>
      <c r="O19" s="2" t="s">
        <v>3</v>
      </c>
      <c r="P19" s="2" t="s">
        <v>3</v>
      </c>
      <c r="Q19" s="2" t="s">
        <v>3</v>
      </c>
      <c r="R19" s="2" t="s">
        <v>7</v>
      </c>
      <c r="S19" s="2"/>
      <c r="T19" s="2"/>
      <c r="U19" s="2"/>
      <c r="V19" s="2"/>
      <c r="W19" s="2"/>
      <c r="X19" s="2"/>
      <c r="Y19" s="2"/>
      <c r="Z19" s="2"/>
      <c r="AA19" s="2" t="s">
        <v>5</v>
      </c>
      <c r="AB19" s="2"/>
      <c r="AC19" s="2"/>
      <c r="AD19" s="2"/>
      <c r="AE19" s="2"/>
      <c r="AF19" s="2"/>
      <c r="AG19" s="2"/>
      <c r="AI19" s="1">
        <f t="shared" si="0"/>
        <v>8</v>
      </c>
      <c r="AJ19" s="1">
        <f t="shared" si="1"/>
        <v>1</v>
      </c>
      <c r="AK19" s="1">
        <f t="shared" si="2"/>
        <v>7</v>
      </c>
      <c r="AL19" s="16">
        <f t="shared" si="3"/>
        <v>16</v>
      </c>
    </row>
    <row r="20" spans="2:38" x14ac:dyDescent="0.35">
      <c r="B20" s="1" t="s">
        <v>19</v>
      </c>
      <c r="C20" s="12">
        <f>COUNTA(C11:C19)</f>
        <v>9</v>
      </c>
      <c r="D20" s="12">
        <f t="shared" ref="D20:AG20" si="4">COUNTA(D11:D19)</f>
        <v>8</v>
      </c>
      <c r="E20" s="12">
        <f t="shared" si="4"/>
        <v>9</v>
      </c>
      <c r="F20" s="12">
        <f t="shared" si="4"/>
        <v>9</v>
      </c>
      <c r="G20" s="12">
        <f t="shared" si="4"/>
        <v>5</v>
      </c>
      <c r="H20" s="12">
        <f t="shared" si="4"/>
        <v>7</v>
      </c>
      <c r="I20" s="12">
        <f t="shared" si="4"/>
        <v>9</v>
      </c>
      <c r="J20" s="12">
        <f t="shared" si="4"/>
        <v>8</v>
      </c>
      <c r="K20" s="12">
        <f t="shared" si="4"/>
        <v>6</v>
      </c>
      <c r="L20" s="12">
        <f t="shared" si="4"/>
        <v>9</v>
      </c>
      <c r="M20" s="12">
        <f t="shared" si="4"/>
        <v>8</v>
      </c>
      <c r="N20" s="12">
        <f t="shared" si="4"/>
        <v>7</v>
      </c>
      <c r="O20" s="12">
        <f t="shared" si="4"/>
        <v>7</v>
      </c>
      <c r="P20" s="12">
        <f t="shared" si="4"/>
        <v>7</v>
      </c>
      <c r="Q20" s="12">
        <f t="shared" si="4"/>
        <v>7</v>
      </c>
      <c r="R20" s="12">
        <f t="shared" si="4"/>
        <v>9</v>
      </c>
      <c r="S20" s="12">
        <f t="shared" si="4"/>
        <v>4</v>
      </c>
      <c r="T20" s="12">
        <f t="shared" si="4"/>
        <v>0</v>
      </c>
      <c r="U20" s="12">
        <f t="shared" si="4"/>
        <v>2</v>
      </c>
      <c r="V20" s="12">
        <f t="shared" si="4"/>
        <v>1</v>
      </c>
      <c r="W20" s="12">
        <f t="shared" si="4"/>
        <v>2</v>
      </c>
      <c r="X20" s="12">
        <f t="shared" si="4"/>
        <v>1</v>
      </c>
      <c r="Y20" s="12">
        <f t="shared" si="4"/>
        <v>2</v>
      </c>
      <c r="Z20" s="12">
        <f t="shared" si="4"/>
        <v>1</v>
      </c>
      <c r="AA20" s="12">
        <f t="shared" si="4"/>
        <v>2</v>
      </c>
      <c r="AB20" s="12">
        <f t="shared" si="4"/>
        <v>1</v>
      </c>
      <c r="AC20" s="12">
        <f t="shared" si="4"/>
        <v>2</v>
      </c>
      <c r="AD20" s="12">
        <f t="shared" si="4"/>
        <v>1</v>
      </c>
      <c r="AE20" s="12">
        <f t="shared" si="4"/>
        <v>2</v>
      </c>
      <c r="AF20" s="12">
        <f t="shared" si="4"/>
        <v>1</v>
      </c>
      <c r="AG20" s="12">
        <f t="shared" si="4"/>
        <v>2</v>
      </c>
    </row>
    <row r="21" spans="2:38" x14ac:dyDescent="0.35">
      <c r="B21" s="15" t="s">
        <v>22</v>
      </c>
      <c r="C21" s="14" t="str" cm="1">
        <f t="array" ref="C21">IF(MIN(COUNTIF(C11:C19,{"M","A","N"}))&lt;=0,"Missing","")</f>
        <v/>
      </c>
      <c r="D21" s="14" t="str" cm="1">
        <f t="array" ref="D21">IF(MIN(COUNTIF(D11:D19,{"M","A","N"}))&lt;=0,"Missing","")</f>
        <v/>
      </c>
      <c r="E21" s="14" t="str" cm="1">
        <f t="array" ref="E21">IF(MIN(COUNTIF(E11:E19,{"M","A","N"}))&lt;=0,"Missing","")</f>
        <v/>
      </c>
      <c r="F21" s="14" t="str" cm="1">
        <f t="array" ref="F21">IF(MIN(COUNTIF(F11:F19,{"M","A","N"}))&lt;=0,"Missing","")</f>
        <v/>
      </c>
      <c r="G21" s="14" t="str" cm="1">
        <f t="array" ref="G21">IF(MIN(COUNTIF(G11:G19,{"M","A","N"}))&lt;=0,"Missing","")</f>
        <v/>
      </c>
      <c r="H21" s="14" t="str" cm="1">
        <f t="array" ref="H21">IF(MIN(COUNTIF(H11:H19,{"M","A","N"}))&lt;=0,"Missing","")</f>
        <v/>
      </c>
      <c r="I21" s="14" t="str" cm="1">
        <f t="array" ref="I21">IF(MIN(COUNTIF(I11:I19,{"M","A","N"}))&lt;=0,"Missing","")</f>
        <v/>
      </c>
      <c r="J21" s="14" t="str" cm="1">
        <f t="array" ref="J21">IF(MIN(COUNTIF(J11:J19,{"M","A","N"}))&lt;=0,"Missing","")</f>
        <v/>
      </c>
      <c r="K21" s="14" t="str" cm="1">
        <f t="array" ref="K21">IF(MIN(COUNTIF(K11:K19,{"M","A","N"}))&lt;=0,"Missing","")</f>
        <v/>
      </c>
      <c r="L21" s="14" t="str" cm="1">
        <f t="array" ref="L21">IF(MIN(COUNTIF(L11:L19,{"M","A","N"}))&lt;=0,"Missing","")</f>
        <v/>
      </c>
      <c r="M21" s="14" t="str" cm="1">
        <f t="array" ref="M21">IF(MIN(COUNTIF(M11:M19,{"M","A","N"}))&lt;=0,"Missing","")</f>
        <v/>
      </c>
      <c r="N21" s="14" t="str" cm="1">
        <f t="array" ref="N21">IF(MIN(COUNTIF(N11:N19,{"M","A","N"}))&lt;=0,"Missing","")</f>
        <v/>
      </c>
      <c r="O21" s="14" t="str" cm="1">
        <f t="array" ref="O21">IF(MIN(COUNTIF(O11:O19,{"M","A","N"}))&lt;=0,"Missing","")</f>
        <v/>
      </c>
      <c r="P21" s="14" t="str" cm="1">
        <f t="array" ref="P21">IF(MIN(COUNTIF(P11:P19,{"M","A","N"}))&lt;=0,"Missing","")</f>
        <v/>
      </c>
      <c r="Q21" s="14" t="str" cm="1">
        <f t="array" ref="Q21">IF(MIN(COUNTIF(Q11:Q19,{"M","A","N"}))&lt;=0,"Missing","")</f>
        <v/>
      </c>
      <c r="R21" s="14" t="str" cm="1">
        <f t="array" ref="R21">IF(MIN(COUNTIF(R11:R19,{"M","A","N"}))&lt;=0,"Missing","")</f>
        <v/>
      </c>
      <c r="S21" s="14" t="str" cm="1">
        <f t="array" ref="S21">IF(MIN(COUNTIF(S11:S19,{"M","A","N"}))&lt;=0,"Missing","")</f>
        <v/>
      </c>
      <c r="T21" s="14" t="str" cm="1">
        <f t="array" ref="T21">IF(MIN(COUNTIF(T11:T19,{"M","A","N"}))&lt;=0,"Missing","")</f>
        <v>Missing</v>
      </c>
      <c r="U21" s="14" t="str" cm="1">
        <f t="array" ref="U21">IF(MIN(COUNTIF(U11:U19,{"M","A","N"}))&lt;=0,"Missing","")</f>
        <v>Missing</v>
      </c>
      <c r="V21" s="14" t="str" cm="1">
        <f t="array" ref="V21">IF(MIN(COUNTIF(V11:V19,{"M","A","N"}))&lt;=0,"Missing","")</f>
        <v>Missing</v>
      </c>
      <c r="W21" s="14" t="str" cm="1">
        <f t="array" ref="W21">IF(MIN(COUNTIF(W11:W19,{"M","A","N"}))&lt;=0,"Missing","")</f>
        <v>Missing</v>
      </c>
      <c r="X21" s="14" t="str" cm="1">
        <f t="array" ref="X21">IF(MIN(COUNTIF(X11:X19,{"M","A","N"}))&lt;=0,"Missing","")</f>
        <v>Missing</v>
      </c>
      <c r="Y21" s="14" t="str" cm="1">
        <f t="array" ref="Y21">IF(MIN(COUNTIF(Y11:Y19,{"M","A","N"}))&lt;=0,"Missing","")</f>
        <v>Missing</v>
      </c>
      <c r="Z21" s="14" t="str" cm="1">
        <f t="array" ref="Z21">IF(MIN(COUNTIF(Z11:Z19,{"M","A","N"}))&lt;=0,"Missing","")</f>
        <v>Missing</v>
      </c>
      <c r="AA21" s="14" t="str" cm="1">
        <f t="array" ref="AA21">IF(MIN(COUNTIF(AA11:AA19,{"M","A","N"}))&lt;=0,"Missing","")</f>
        <v>Missing</v>
      </c>
      <c r="AB21" s="14" t="str" cm="1">
        <f t="array" ref="AB21">IF(MIN(COUNTIF(AB11:AB19,{"M","A","N"}))&lt;=0,"Missing","")</f>
        <v>Missing</v>
      </c>
      <c r="AC21" s="14" t="str" cm="1">
        <f t="array" ref="AC21">IF(MIN(COUNTIF(AC11:AC19,{"M","A","N"}))&lt;=0,"Missing","")</f>
        <v>Missing</v>
      </c>
      <c r="AD21" s="14" t="str" cm="1">
        <f t="array" ref="AD21">IF(MIN(COUNTIF(AD11:AD19,{"M","A","N"}))&lt;=0,"Missing","")</f>
        <v>Missing</v>
      </c>
      <c r="AE21" s="14" t="str" cm="1">
        <f t="array" ref="AE21">IF(MIN(COUNTIF(AE11:AE19,{"M","A","N"}))&lt;=0,"Missing","")</f>
        <v>Missing</v>
      </c>
      <c r="AF21" s="14" t="str" cm="1">
        <f t="array" ref="AF21">IF(MIN(COUNTIF(AF11:AF19,{"M","A","N"}))&lt;=0,"Missing","")</f>
        <v>Missing</v>
      </c>
      <c r="AG21" s="14" t="str" cm="1">
        <f t="array" ref="AG21">IF(MIN(COUNTIF(AG11:AG19,{"M","A","N"}))&lt;=0,"Missing","")</f>
        <v>Missing</v>
      </c>
    </row>
    <row r="22" spans="2:38" x14ac:dyDescent="0.35">
      <c r="C22" s="13">
        <v>9</v>
      </c>
      <c r="D22" s="13">
        <v>9</v>
      </c>
      <c r="E22" s="13">
        <v>9</v>
      </c>
      <c r="F22" s="13">
        <v>9</v>
      </c>
      <c r="G22" s="13">
        <v>9</v>
      </c>
      <c r="H22" s="13">
        <v>9</v>
      </c>
      <c r="I22" s="13">
        <v>9</v>
      </c>
      <c r="J22" s="13">
        <v>9</v>
      </c>
      <c r="K22" s="13">
        <v>9</v>
      </c>
      <c r="L22" s="13">
        <v>9</v>
      </c>
      <c r="M22" s="13">
        <v>9</v>
      </c>
      <c r="N22" s="13">
        <v>9</v>
      </c>
      <c r="O22" s="13">
        <v>9</v>
      </c>
      <c r="P22" s="13">
        <v>9</v>
      </c>
      <c r="Q22" s="13">
        <v>9</v>
      </c>
      <c r="R22" s="13">
        <v>9</v>
      </c>
      <c r="S22" s="13">
        <v>9</v>
      </c>
      <c r="T22" s="13">
        <v>9</v>
      </c>
      <c r="U22" s="13">
        <v>9</v>
      </c>
      <c r="V22" s="13">
        <v>9</v>
      </c>
      <c r="W22" s="13">
        <v>9</v>
      </c>
      <c r="X22" s="13">
        <v>9</v>
      </c>
      <c r="Y22" s="13">
        <v>9</v>
      </c>
      <c r="Z22" s="13">
        <v>9</v>
      </c>
      <c r="AA22" s="13">
        <v>9</v>
      </c>
      <c r="AB22" s="13">
        <v>9</v>
      </c>
      <c r="AC22" s="13">
        <v>9</v>
      </c>
      <c r="AD22" s="13">
        <v>9</v>
      </c>
      <c r="AE22" s="13">
        <v>9</v>
      </c>
      <c r="AF22" s="13">
        <v>9</v>
      </c>
      <c r="AG22" s="13">
        <v>9</v>
      </c>
    </row>
  </sheetData>
  <mergeCells count="2">
    <mergeCell ref="C2:H2"/>
    <mergeCell ref="AI9:AL9"/>
  </mergeCells>
  <conditionalFormatting sqref="C11:AG19">
    <cfRule type="cellIs" dxfId="4" priority="5" operator="equal">
      <formula>"N"</formula>
    </cfRule>
    <cfRule type="cellIs" dxfId="3" priority="6" operator="equal">
      <formula>"A"</formula>
    </cfRule>
    <cfRule type="cellIs" dxfId="2" priority="7" operator="equal">
      <formula>"M"</formula>
    </cfRule>
  </conditionalFormatting>
  <conditionalFormatting sqref="C21:AG21">
    <cfRule type="cellIs" dxfId="1" priority="2" operator="equal">
      <formula>"Missing"</formula>
    </cfRule>
  </conditionalFormatting>
  <conditionalFormatting sqref="AI11:AK19">
    <cfRule type="cellIs" dxfId="0" priority="3" operator="equal">
      <formula>0</formula>
    </cfRule>
  </conditionalFormatting>
  <conditionalFormatting sqref="AL11:AL19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{BEBB5FE4-55E5-4535-997B-9FB560761107}</x14:id>
        </ext>
      </extLst>
    </cfRule>
  </conditionalFormatting>
  <dataValidations count="1">
    <dataValidation type="list" allowBlank="1" showInputMessage="1" showErrorMessage="1" sqref="C11:AG19" xr:uid="{FA10882D-5ABD-4F30-9C54-3DFB39DAD8A4}">
      <formula1>$D$6:$D$8</formula1>
    </dataValidation>
  </dataValidations>
  <pageMargins left="0.7" right="0.7" top="0.75" bottom="0.75" header="0.3" footer="0.3"/>
  <ignoredErrors>
    <ignoredError sqref="AJ11" formula="1"/>
  </ignoredError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BB5FE4-55E5-4535-997B-9FB56076110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AL11:AL19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Yaswanth Reddy</dc:creator>
  <cp:lastModifiedBy>Yaswanth Reddy</cp:lastModifiedBy>
  <dcterms:created xsi:type="dcterms:W3CDTF">2026-01-20T04:37:12Z</dcterms:created>
  <dcterms:modified xsi:type="dcterms:W3CDTF">2026-02-03T10:12:02Z</dcterms:modified>
</cp:coreProperties>
</file>