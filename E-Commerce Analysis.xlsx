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saiya\Downloads\"/>
    </mc:Choice>
  </mc:AlternateContent>
  <xr:revisionPtr revIDLastSave="0" documentId="13_ncr:1_{519E6F7D-3EF7-49DA-AD12-D660232FEC1E}" xr6:coauthVersionLast="47" xr6:coauthVersionMax="47" xr10:uidLastSave="{00000000-0000-0000-0000-000000000000}"/>
  <bookViews>
    <workbookView xWindow="-110" yWindow="-110" windowWidth="19420" windowHeight="10300" activeTab="2" xr2:uid="{346724B3-1C49-40AE-AA36-C77CF5D6DD09}"/>
  </bookViews>
  <sheets>
    <sheet name="Data" sheetId="1" r:id="rId1"/>
    <sheet name="Dashboard" sheetId="3" r:id="rId2"/>
    <sheet name="Questions &amp; KPIs" sheetId="2" r:id="rId3"/>
    <sheet name="Logo &amp; Colors" sheetId="4" r:id="rId4"/>
    <sheet name="Pivots" sheetId="5" r:id="rId5"/>
  </sheets>
  <definedNames>
    <definedName name="_xlchart.v5.0" hidden="1">Pivots!$E$80:$F$80</definedName>
    <definedName name="_xlchart.v5.1" hidden="1">Pivots!$E$81:$F$139</definedName>
    <definedName name="_xlchart.v5.2" hidden="1">Pivots!$G$80</definedName>
    <definedName name="_xlchart.v5.3" hidden="1">Pivots!$G$81:$G$139</definedName>
    <definedName name="Slicer_Gender_Value">#N/A</definedName>
    <definedName name="Slicer_Order_Mode">#N/A</definedName>
  </definedNames>
  <calcPr calcId="191029"/>
  <pivotCaches>
    <pivotCache cacheId="28"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5" l="1"/>
  <c r="L28" i="5"/>
  <c r="J28" i="5"/>
  <c r="K28" i="5"/>
  <c r="I28" i="5"/>
  <c r="L29" i="5"/>
  <c r="L30" i="5"/>
  <c r="L31" i="5"/>
  <c r="L32" i="5"/>
  <c r="L33" i="5"/>
  <c r="I29" i="5"/>
  <c r="J29" i="5"/>
  <c r="K29" i="5"/>
  <c r="I30" i="5"/>
  <c r="J30" i="5"/>
  <c r="K30" i="5"/>
  <c r="I31" i="5"/>
  <c r="J31" i="5"/>
  <c r="K31" i="5"/>
  <c r="I32" i="5"/>
  <c r="J32" i="5"/>
  <c r="K32" i="5"/>
  <c r="I33" i="5"/>
  <c r="J33" i="5"/>
  <c r="K33" i="5"/>
  <c r="H30" i="5"/>
  <c r="H31" i="5"/>
  <c r="H32" i="5"/>
  <c r="H33" i="5"/>
  <c r="H29" i="5"/>
  <c r="B8" i="5"/>
  <c r="A8" i="5"/>
  <c r="K9" i="5" s="1"/>
  <c r="D8" i="5"/>
  <c r="E8"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<sst xmlns="http://schemas.openxmlformats.org/spreadsheetml/2006/main" count="14724" uniqueCount="2568">
  <si>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</si>
  <si>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</si>
  <si>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</si>
  <si>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</si>
  <si>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</si>
  <si>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</si>
  <si>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</si>
  <si>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</si>
  <si>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</si>
  <si>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</si>
  <si>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</si>
  <si>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</si>
  <si>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</si>
  <si>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</si>
  <si>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</si>
  <si>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</si>
  <si>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</si>
  <si>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</si>
  <si>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</si>
  <si>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</si>
  <si>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</si>
  <si>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</si>
  <si>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</si>
  <si>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</si>
  <si>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</si>
  <si>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</si>
  <si>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</si>
  <si>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</si>
  <si>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</si>
  <si>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</si>
  <si>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</si>
  <si>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</si>
  <si>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</si>
  <si>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</si>
  <si>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</si>
  <si>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</si>
  <si>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</si>
  <si>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</si>
  <si>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</si>
  <si>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</si>
  <si>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</si>
  <si>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</si>
  <si>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</si>
  <si>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</si>
  <si>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</si>
  <si>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</si>
  <si>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</si>
  <si>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</si>
  <si>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</si>
  <si>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</si>
  <si>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</si>
  <si>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</si>
  <si>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</si>
  <si>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</si>
  <si>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</si>
  <si>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</si>
  <si>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</si>
  <si>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</si>
  <si>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</si>
  <si>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</si>
  <si>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</si>
  <si>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</si>
  <si>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</si>
  <si>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</si>
  <si>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</si>
  <si>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</si>
  <si>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</si>
  <si>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</si>
  <si>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</si>
  <si>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</si>
  <si>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</si>
  <si>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</si>
  <si>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</si>
  <si>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</si>
  <si>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</si>
  <si>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</si>
  <si>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</si>
  <si>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</si>
  <si>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</si>
  <si>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</si>
  <si>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</si>
  <si>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</si>
  <si>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</si>
  <si>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</si>
  <si>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</si>
  <si>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</si>
  <si>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</si>
  <si>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</si>
  <si>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</si>
  <si>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</si>
  <si>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</si>
  <si>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</si>
  <si>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</si>
  <si>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</si>
  <si>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</si>
  <si>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</si>
  <si>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</si>
  <si>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</si>
  <si>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</si>
  <si>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</si>
  <si>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</si>
  <si>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</si>
  <si>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</si>
  <si>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</si>
  <si>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</si>
  <si>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</si>
  <si>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</si>
  <si>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</si>
  <si>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</si>
  <si>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</si>
  <si>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</si>
  <si>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</si>
  <si>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</si>
  <si>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</si>
  <si>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</si>
  <si>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</si>
  <si>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</si>
  <si>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</si>
  <si>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</si>
  <si>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</si>
  <si>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</si>
  <si>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</si>
  <si>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</si>
  <si>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</si>
  <si>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</si>
  <si>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</si>
  <si>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</si>
  <si>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</si>
  <si>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</si>
  <si>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</si>
  <si>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</si>
  <si>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</si>
  <si>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</si>
  <si>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</si>
  <si>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</si>
  <si>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</si>
  <si>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</si>
  <si>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</si>
  <si>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</si>
  <si>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</si>
  <si>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</si>
  <si>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</si>
  <si>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</si>
  <si>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</si>
  <si>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</si>
  <si>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</si>
  <si>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</si>
  <si>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</si>
  <si>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</si>
  <si>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</si>
  <si>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</si>
  <si>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</si>
  <si>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</si>
  <si>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</si>
  <si>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</si>
  <si>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</si>
  <si>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</si>
  <si>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</si>
  <si>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</si>
  <si>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</si>
  <si>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</si>
  <si>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</si>
  <si>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</si>
  <si>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</si>
  <si>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</si>
  <si>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</si>
  <si>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</si>
  <si>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</si>
  <si>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</si>
  <si>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</si>
  <si>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</si>
  <si>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</si>
  <si>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</si>
  <si>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</si>
  <si>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</si>
  <si>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</si>
  <si>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</si>
  <si>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</si>
  <si>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</si>
  <si>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</si>
  <si>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</si>
  <si>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</si>
  <si>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</si>
  <si>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</si>
  <si>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</si>
  <si>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</si>
  <si>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</si>
  <si>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</si>
  <si>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</si>
  <si>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</si>
  <si>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</si>
  <si>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</si>
  <si>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</si>
  <si>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</si>
  <si>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</si>
  <si>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</si>
  <si>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</si>
  <si>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</si>
  <si>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</si>
  <si>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</si>
  <si>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</si>
  <si>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</si>
  <si>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</si>
  <si>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</si>
  <si>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</si>
  <si>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</si>
  <si>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</si>
  <si>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</si>
  <si>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</si>
  <si>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</si>
  <si>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</si>
  <si>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</si>
  <si>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</si>
  <si>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</si>
  <si>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</si>
  <si>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</si>
  <si>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</si>
  <si>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</si>
  <si>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</si>
  <si>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</si>
  <si>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</si>
  <si>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</si>
  <si>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</si>
  <si>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</si>
  <si>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</si>
  <si>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</si>
  <si>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</si>
  <si>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</si>
  <si>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</si>
  <si>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</si>
  <si>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</si>
  <si>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</si>
  <si>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</si>
  <si>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</si>
  <si>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</si>
  <si>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</si>
  <si>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</si>
  <si>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</si>
  <si>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</si>
  <si>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</si>
  <si>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</si>
  <si>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</si>
  <si>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</si>
  <si>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</si>
  <si>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</si>
  <si>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</si>
  <si>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</si>
  <si>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</si>
  <si>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</si>
  <si>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</si>
  <si>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</si>
  <si>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</si>
  <si>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</si>
  <si>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</si>
  <si>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</si>
  <si>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</si>
  <si>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</si>
  <si>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</si>
  <si>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</si>
  <si>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</si>
  <si>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</si>
  <si>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</si>
  <si>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</si>
  <si>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</si>
  <si>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</si>
  <si>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</si>
  <si>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</si>
  <si>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</si>
  <si>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</si>
  <si>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</si>
  <si>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</si>
  <si>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</si>
  <si>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</si>
  <si>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</si>
  <si>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</si>
  <si>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</si>
  <si>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</si>
  <si>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</si>
  <si>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</si>
  <si>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</si>
  <si>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</si>
  <si>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</si>
  <si>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</si>
  <si>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</si>
  <si>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</si>
  <si>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</si>
  <si>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</si>
  <si>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</si>
  <si>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</si>
  <si>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</si>
  <si>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</si>
  <si>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</si>
  <si>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</si>
  <si>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</si>
  <si>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</si>
  <si>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</si>
  <si>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</si>
  <si>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</si>
  <si>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</si>
  <si>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</si>
  <si>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</si>
  <si>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</si>
  <si>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</si>
  <si>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</si>
  <si>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</si>
  <si>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</si>
  <si>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</si>
  <si>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</si>
  <si>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</si>
  <si>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</si>
  <si>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</si>
  <si>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</si>
  <si>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</si>
  <si>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</si>
  <si>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</si>
  <si>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</si>
  <si>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</si>
  <si>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</si>
  <si>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</si>
  <si>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</si>
  <si>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</si>
  <si>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</si>
  <si>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</si>
  <si>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</si>
  <si>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</si>
  <si>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</si>
  <si>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</si>
  <si>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</si>
  <si>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</si>
  <si>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</si>
  <si>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</si>
  <si>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</si>
  <si>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</si>
  <si>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</si>
  <si>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</si>
  <si>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</si>
  <si>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</si>
  <si>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</si>
  <si>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</si>
  <si>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</si>
  <si>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</si>
  <si>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</si>
  <si>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</si>
  <si>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</si>
  <si>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</si>
  <si>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</si>
  <si>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</si>
  <si>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</si>
  <si>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</si>
  <si>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</si>
  <si>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</si>
  <si>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</si>
  <si>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</si>
  <si>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</si>
  <si>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</si>
  <si>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</si>
  <si>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</si>
  <si>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</si>
  <si>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</si>
  <si>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</si>
  <si>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</si>
  <si>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</si>
  <si>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</si>
  <si>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</si>
  <si>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</si>
  <si>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</si>
  <si>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</si>
  <si>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</si>
  <si>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</si>
  <si>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</si>
  <si>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</si>
  <si>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</si>
  <si>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</si>
  <si>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</si>
  <si>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</si>
  <si>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</si>
  <si>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</si>
  <si>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</si>
  <si>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</si>
  <si>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</si>
  <si>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</si>
  <si>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</si>
  <si>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</si>
  <si>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</si>
  <si>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</si>
  <si>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</si>
  <si>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</si>
  <si>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</si>
  <si>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</si>
  <si>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</si>
  <si>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</si>
  <si>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</si>
  <si>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</si>
  <si>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</si>
  <si>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</si>
  <si>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</si>
  <si>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</si>
  <si>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</si>
  <si>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</si>
  <si>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</si>
  <si>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</si>
  <si>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</si>
  <si>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</si>
  <si>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</si>
  <si>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</si>
  <si>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</si>
  <si>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</si>
  <si>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</si>
  <si>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</si>
  <si>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</si>
  <si>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</si>
  <si>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</si>
  <si>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</si>
  <si>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</si>
  <si>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</si>
  <si>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</si>
  <si>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</si>
  <si>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</si>
  <si>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</si>
  <si>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</si>
  <si>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</si>
  <si>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</si>
  <si>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</si>
  <si>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</si>
  <si>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</si>
  <si>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</si>
  <si>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</si>
  <si>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</si>
  <si>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</si>
  <si>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</si>
  <si>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</si>
  <si>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</si>
  <si>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</si>
  <si>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</si>
  <si>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</si>
  <si>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</si>
  <si>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</si>
  <si>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</si>
  <si>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</si>
  <si>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</si>
  <si>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</si>
  <si>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</si>
  <si>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</si>
  <si>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</si>
  <si>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</si>
  <si>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</si>
  <si>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</si>
  <si>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</si>
  <si>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</si>
  <si>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</si>
  <si>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</si>
  <si>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</si>
  <si>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</si>
  <si>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</si>
  <si>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</si>
  <si>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</si>
  <si>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</si>
  <si>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</si>
  <si>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</si>
  <si>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</si>
  <si>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</si>
  <si>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</si>
  <si>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</si>
  <si>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</si>
  <si>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</si>
  <si>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</si>
  <si>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</si>
  <si>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</si>
  <si>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</si>
  <si>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</si>
  <si>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</si>
  <si>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</si>
  <si>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</si>
  <si>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</si>
  <si>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</si>
  <si>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</si>
  <si>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</si>
  <si>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</si>
  <si>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</si>
  <si>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</si>
  <si>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</si>
  <si>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</si>
  <si>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</si>
  <si>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</si>
  <si>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</si>
  <si>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</si>
  <si>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</si>
  <si>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</si>
  <si>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</si>
  <si>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</si>
  <si>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</si>
  <si>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</si>
  <si>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</si>
  <si>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</si>
  <si>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</si>
  <si>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</si>
  <si>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</si>
  <si>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</si>
  <si>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</si>
  <si>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</si>
  <si>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</si>
  <si>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</si>
  <si>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</si>
  <si>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</si>
  <si>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</si>
  <si>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</si>
  <si>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</si>
  <si>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</si>
  <si>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</si>
  <si>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</si>
  <si>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</si>
  <si>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</si>
  <si>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</si>
  <si>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</si>
  <si>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</si>
  <si>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</si>
  <si>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</si>
  <si>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</si>
  <si>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</si>
  <si>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</si>
  <si>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</si>
  <si>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</si>
  <si>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</si>
  <si>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</si>
  <si>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</si>
  <si>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</si>
  <si>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</si>
  <si>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</si>
  <si>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</si>
  <si>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</si>
  <si>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</si>
  <si>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</si>
  <si>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</si>
  <si>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</si>
  <si>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</si>
  <si>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</si>
  <si>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</si>
  <si>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</si>
  <si>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</si>
  <si>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</si>
  <si>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</si>
  <si>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</si>
  <si>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</si>
  <si>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</si>
  <si>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</si>
  <si>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</si>
  <si>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</si>
  <si>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</si>
  <si>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</si>
  <si>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</si>
  <si>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</si>
  <si>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</si>
  <si>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</si>
  <si>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</si>
  <si>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</si>
  <si>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</si>
  <si>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</si>
  <si>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</si>
  <si>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</si>
  <si>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</si>
  <si>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</si>
  <si>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</si>
  <si>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</si>
  <si>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</si>
  <si>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</si>
  <si>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</si>
  <si>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</si>
  <si>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</si>
  <si>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</si>
  <si>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</si>
  <si>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</si>
  <si>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</si>
  <si>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</si>
  <si>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</si>
  <si>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</si>
  <si>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</si>
  <si>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</si>
  <si>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</si>
  <si>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</si>
  <si>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</si>
  <si>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</si>
  <si>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</si>
  <si>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</si>
  <si>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</si>
  <si>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</si>
  <si>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</si>
  <si>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</si>
  <si>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</si>
  <si>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</si>
  <si>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</si>
  <si>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</si>
  <si>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</si>
  <si>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</si>
  <si>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</si>
  <si>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</si>
  <si>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</si>
  <si>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</si>
  <si>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</si>
  <si>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</si>
  <si>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</si>
  <si>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</si>
  <si>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</si>
  <si>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</si>
  <si>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</si>
  <si>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</si>
  <si>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</si>
  <si>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</si>
  <si>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</si>
  <si>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</si>
  <si>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</si>
  <si>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</si>
  <si>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</si>
  <si>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</si>
  <si>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</si>
  <si>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</si>
  <si>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</si>
  <si>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</si>
  <si>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</si>
  <si>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</si>
  <si>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</si>
  <si>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</si>
  <si>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</si>
  <si>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</si>
  <si>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</si>
  <si>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</si>
  <si>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</si>
  <si>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</si>
  <si>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</si>
  <si>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</si>
  <si>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</si>
  <si>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</si>
  <si>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</si>
  <si>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</si>
  <si>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</si>
  <si>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</si>
  <si>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</si>
  <si>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</si>
  <si>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</si>
  <si>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</si>
  <si>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</si>
  <si>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</si>
  <si>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</si>
  <si>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</si>
  <si>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</si>
  <si>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</si>
  <si>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</si>
  <si>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</si>
  <si>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</si>
  <si>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</si>
  <si>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</si>
  <si>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</si>
  <si>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</si>
  <si>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</si>
  <si>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</si>
  <si>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</si>
  <si>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</si>
  <si>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</si>
  <si>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</si>
  <si>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</si>
  <si>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</si>
  <si>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</si>
  <si>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</si>
  <si>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</si>
  <si>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</si>
  <si>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</si>
  <si>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</si>
  <si>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</si>
  <si>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</si>
  <si>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</si>
  <si>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</si>
  <si>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</si>
  <si>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</si>
  <si>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</si>
  <si>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</si>
  <si>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</si>
  <si>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</si>
  <si>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</si>
  <si>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</si>
  <si>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</si>
  <si>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</si>
  <si>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</si>
  <si>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</si>
  <si>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</si>
  <si>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</si>
  <si>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</si>
  <si>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</si>
  <si>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</si>
  <si>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</si>
  <si>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</si>
  <si>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</si>
  <si>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</si>
  <si>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</si>
  <si>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</si>
  <si>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</si>
  <si>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</si>
  <si>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</si>
  <si>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</si>
  <si>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</si>
  <si>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</si>
  <si>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</si>
  <si>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</si>
  <si>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</si>
  <si>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</si>
  <si>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</si>
  <si>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</si>
  <si>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</si>
  <si>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</si>
  <si>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</si>
  <si>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</si>
  <si>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</si>
  <si>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</si>
  <si>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</si>
  <si>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</si>
  <si>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</si>
  <si>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</si>
  <si>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</si>
  <si>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</si>
  <si>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</si>
  <si>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</si>
  <si>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</si>
  <si>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</si>
  <si>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</si>
  <si>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</si>
  <si>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</si>
  <si>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</si>
  <si>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</si>
  <si>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</si>
  <si>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</si>
  <si>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</si>
  <si>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</si>
  <si>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</si>
  <si>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</si>
  <si>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</si>
  <si>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</si>
  <si>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</si>
  <si>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</si>
  <si>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</si>
  <si>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</si>
  <si>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</si>
  <si>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</si>
  <si>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</si>
  <si>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</si>
  <si>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</si>
  <si>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</si>
  <si>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</si>
  <si>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</si>
  <si>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</si>
  <si>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</si>
  <si>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</si>
  <si>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</si>
  <si>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</si>
  <si>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</si>
  <si>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</si>
  <si>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</si>
  <si>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</si>
  <si>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</si>
  <si>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</si>
  <si>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</si>
  <si>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</si>
  <si>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</si>
  <si>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</si>
  <si>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</si>
  <si>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</si>
  <si>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</si>
  <si>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</si>
  <si>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</si>
  <si>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</si>
  <si>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</si>
  <si>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</si>
  <si>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</si>
  <si>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</si>
  <si>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</si>
  <si>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</si>
  <si>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</si>
  <si>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</si>
  <si>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</si>
  <si>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</si>
  <si>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</si>
  <si>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</si>
  <si>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</si>
  <si>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</si>
  <si>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</si>
  <si>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</si>
  <si>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</si>
  <si>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</si>
  <si>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</si>
  <si>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</si>
  <si>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</si>
  <si>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</si>
  <si>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</si>
  <si>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</si>
  <si>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</si>
  <si>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</si>
  <si>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</si>
  <si>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</si>
  <si>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</si>
  <si>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</si>
  <si>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</si>
  <si>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</si>
  <si>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</si>
  <si>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</si>
  <si>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</si>
  <si>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</si>
  <si>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</si>
  <si>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</si>
  <si>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</si>
  <si>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</si>
  <si>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</si>
  <si>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</si>
  <si>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</si>
  <si>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</si>
  <si>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</si>
  <si>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</si>
  <si>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</si>
  <si>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</si>
  <si>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</si>
  <si>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</si>
  <si>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</si>
  <si>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</si>
  <si>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</si>
  <si>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</si>
  <si>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</si>
  <si>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</si>
  <si>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</si>
  <si>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</si>
  <si>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</si>
  <si>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</si>
  <si>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</si>
  <si>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</si>
  <si>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</si>
  <si>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</si>
  <si>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</si>
  <si>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</si>
  <si>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</si>
  <si>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</si>
  <si>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</si>
  <si>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</si>
  <si>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</si>
  <si>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</si>
  <si>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</si>
  <si>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</si>
  <si>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</si>
  <si>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</si>
  <si>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</si>
  <si>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</si>
  <si>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</si>
  <si>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</si>
  <si>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</si>
  <si>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</si>
  <si>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</si>
  <si>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</si>
  <si>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</si>
  <si>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</si>
  <si>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</si>
  <si>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</si>
  <si>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</si>
  <si>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</si>
  <si>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</si>
  <si>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</si>
  <si>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</si>
  <si>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</si>
  <si>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</si>
  <si>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</si>
  <si>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</si>
  <si>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</si>
  <si>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</si>
  <si>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</si>
  <si>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</si>
  <si>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</si>
  <si>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</si>
  <si>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</si>
  <si>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</si>
  <si>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</si>
  <si>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</si>
  <si>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</si>
  <si>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</si>
  <si>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</si>
  <si>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</si>
  <si>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</si>
  <si>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</si>
  <si>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</si>
  <si>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</si>
  <si>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</si>
  <si>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</si>
  <si>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</si>
  <si>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</si>
  <si>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</si>
  <si>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</si>
  <si>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</si>
  <si>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</si>
  <si>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</si>
  <si>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</si>
  <si>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</si>
  <si>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</si>
  <si>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</si>
  <si>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</si>
  <si>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</si>
  <si>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</si>
  <si>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</si>
  <si>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</si>
  <si>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</si>
  <si>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</si>
  <si>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</si>
  <si>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</si>
  <si>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</si>
  <si>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</si>
  <si>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</si>
  <si>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</si>
  <si>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</si>
  <si>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</si>
  <si>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</si>
  <si>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</si>
  <si>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</si>
  <si>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</si>
  <si>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</si>
  <si>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</si>
  <si>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</si>
  <si>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</si>
  <si>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</si>
  <si>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</si>
  <si>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</si>
  <si>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</si>
  <si>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</si>
  <si>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</si>
  <si>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</si>
  <si>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</si>
  <si>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</si>
  <si>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</si>
  <si>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</si>
  <si>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</si>
  <si>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</si>
  <si>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</si>
  <si>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</si>
  <si>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</si>
  <si>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</si>
  <si>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</si>
  <si>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</si>
  <si>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</si>
  <si>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</si>
  <si>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</si>
  <si>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</si>
  <si>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</si>
  <si>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</si>
  <si>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</si>
  <si>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</si>
  <si>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</si>
  <si>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</si>
  <si>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</si>
  <si>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</si>
  <si>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</si>
  <si>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</si>
  <si>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</si>
  <si>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</si>
  <si>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</si>
  <si>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</si>
  <si>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</si>
  <si>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</si>
  <si>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</si>
  <si>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</si>
  <si>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</si>
  <si>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</si>
  <si>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</si>
  <si>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</si>
  <si>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</si>
  <si>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</si>
  <si>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</si>
  <si>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</si>
  <si>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</si>
  <si>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</si>
  <si>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</si>
  <si>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</si>
  <si>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</si>
  <si>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</si>
  <si>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</si>
  <si>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</si>
  <si>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</si>
  <si>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</si>
  <si>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</si>
  <si>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</si>
  <si>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</si>
  <si>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</si>
  <si>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</si>
  <si>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</si>
  <si>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</si>
  <si>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</si>
  <si>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</si>
  <si>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</si>
  <si>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</si>
  <si>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</si>
  <si>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</si>
  <si>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</si>
  <si>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</si>
  <si>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</si>
  <si>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</si>
  <si>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</si>
  <si>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</si>
  <si>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</si>
  <si>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</si>
  <si>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</si>
  <si>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</si>
  <si>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</si>
  <si>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</si>
  <si>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</si>
  <si>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</si>
  <si>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</si>
  <si>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</si>
  <si>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</si>
  <si>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</si>
  <si>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</si>
  <si>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</si>
  <si>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</si>
  <si>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</si>
  <si>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</si>
  <si>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</si>
  <si>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</si>
  <si>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</si>
  <si>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</si>
  <si>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</si>
  <si>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</si>
  <si>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</si>
  <si>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</si>
  <si>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</si>
  <si>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</si>
  <si>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</si>
  <si>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</si>
  <si>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</si>
  <si>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</si>
  <si>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</si>
  <si>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</si>
  <si>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</si>
  <si>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</si>
  <si>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</si>
  <si>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</si>
  <si>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</si>
  <si>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</si>
  <si>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</si>
  <si>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</si>
  <si>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</si>
  <si>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</si>
  <si>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</si>
  <si>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</si>
  <si>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</si>
  <si>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</si>
  <si>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</si>
  <si>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</si>
  <si>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</si>
  <si>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</si>
  <si>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</si>
  <si>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</si>
  <si>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</si>
  <si>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</si>
  <si>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</si>
  <si>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</si>
  <si>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</si>
  <si>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</si>
  <si>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</si>
  <si>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</si>
  <si>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</si>
  <si>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</si>
  <si>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</si>
  <si>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</si>
  <si>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</si>
  <si>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</si>
  <si>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</si>
  <si>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</si>
  <si>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</si>
  <si>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</si>
  <si>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</si>
  <si>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</si>
  <si>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</si>
  <si>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</si>
  <si>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</si>
  <si>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</si>
  <si>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</si>
  <si>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</si>
  <si>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</si>
  <si>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</si>
  <si>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</si>
  <si>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</si>
  <si>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</si>
  <si>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</si>
  <si>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</si>
  <si>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</si>
  <si>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</si>
  <si>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</si>
  <si>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</si>
  <si>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</si>
  <si>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</si>
  <si>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</si>
  <si>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</si>
  <si>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</si>
  <si>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</si>
  <si>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</si>
  <si>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</si>
  <si>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</si>
  <si>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</si>
  <si>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</si>
  <si>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</si>
  <si>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</si>
  <si>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</si>
  <si>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</si>
  <si>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</si>
  <si>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</si>
  <si>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</si>
  <si>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</si>
  <si>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</si>
  <si>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</si>
  <si>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</si>
  <si>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</si>
  <si>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</si>
  <si>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</si>
  <si>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</si>
  <si>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</si>
  <si>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</si>
  <si>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</si>
  <si>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</si>
  <si>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</si>
  <si>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</si>
  <si>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</si>
  <si>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</si>
  <si>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</si>
  <si>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</si>
  <si>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</si>
  <si>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</si>
  <si>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</si>
  <si>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</si>
  <si>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</si>
  <si>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</si>
  <si>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</si>
  <si>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</si>
  <si>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</si>
  <si>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</si>
  <si>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</si>
  <si>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</si>
  <si>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</si>
  <si>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</si>
  <si>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</si>
  <si>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</si>
  <si>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</si>
  <si>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</si>
  <si>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</si>
  <si>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</si>
  <si>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</si>
  <si>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</si>
  <si>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</si>
  <si>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</si>
  <si>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</si>
  <si>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</si>
  <si>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</si>
  <si>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</si>
  <si>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</si>
  <si>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</si>
  <si>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</si>
  <si>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</si>
  <si>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</si>
  <si>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</si>
  <si>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</si>
  <si>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</si>
  <si>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</si>
  <si>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</si>
  <si>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</si>
  <si>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</si>
  <si>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</si>
  <si>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</si>
  <si>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</si>
  <si>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</si>
  <si>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</si>
  <si>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</si>
  <si>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</si>
  <si>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</si>
  <si>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</si>
  <si>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</si>
  <si>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</si>
  <si>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</si>
  <si>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</si>
  <si>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</si>
  <si>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</si>
  <si>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</si>
  <si>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</si>
  <si>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</si>
  <si>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</si>
  <si>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</si>
  <si>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</si>
  <si>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</si>
  <si>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</si>
  <si>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</si>
  <si>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</si>
  <si>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</si>
  <si>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</si>
  <si>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</si>
  <si>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</si>
  <si>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</si>
  <si>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</si>
  <si>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</si>
  <si>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</si>
  <si>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</si>
  <si>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</si>
  <si>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</si>
  <si>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</si>
  <si>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</si>
  <si>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</si>
  <si>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</si>
  <si>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</si>
  <si>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</si>
  <si>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</si>
  <si>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</si>
  <si>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</si>
  <si>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</si>
  <si>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</si>
  <si>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</si>
  <si>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</si>
  <si>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</si>
  <si>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</si>
  <si>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</si>
  <si>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</si>
  <si>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</si>
  <si>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</si>
  <si>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</si>
  <si>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</si>
  <si>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</si>
  <si>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</si>
  <si>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</si>
  <si>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</si>
  <si>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</si>
  <si>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</si>
  <si>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</si>
  <si>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</si>
  <si>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</si>
  <si>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</si>
  <si>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</si>
  <si>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</si>
  <si>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</si>
  <si>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</si>
  <si>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</si>
  <si>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</si>
  <si>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</si>
  <si>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</si>
  <si>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</si>
  <si>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</si>
  <si>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</si>
  <si>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</si>
  <si>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</si>
  <si>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</si>
  <si>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</si>
  <si>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</si>
  <si>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</si>
  <si>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</si>
  <si>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</si>
  <si>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</si>
  <si>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</si>
  <si>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</si>
  <si>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</si>
  <si>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</si>
  <si>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</si>
  <si>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</si>
  <si>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</si>
  <si>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</si>
  <si>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</si>
  <si>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</si>
  <si>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</si>
  <si>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</si>
  <si>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</si>
  <si>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</si>
  <si>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</si>
  <si>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</si>
  <si>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</si>
  <si>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</si>
  <si>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</si>
  <si>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</si>
  <si>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</si>
  <si>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</si>
  <si>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</si>
  <si>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</si>
  <si>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</si>
  <si>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</si>
  <si>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</si>
  <si>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</si>
  <si>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</si>
  <si>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</si>
  <si>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</si>
  <si>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</si>
  <si>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</si>
  <si>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</si>
  <si>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</si>
  <si>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</si>
  <si>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</si>
  <si>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</si>
  <si>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</si>
  <si>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</si>
  <si>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</si>
  <si>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</si>
  <si>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</si>
  <si>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</si>
  <si>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</si>
  <si>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</si>
  <si>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</si>
  <si>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</si>
  <si>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</si>
  <si>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</si>
  <si>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</si>
  <si>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</si>
  <si>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</si>
  <si>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</si>
  <si>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</si>
  <si>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</si>
  <si>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</si>
  <si>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</si>
  <si>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</si>
  <si>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</si>
  <si>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</si>
  <si>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</si>
  <si>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</si>
  <si>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</si>
  <si>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</si>
  <si>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</si>
  <si>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</si>
  <si>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</si>
  <si>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</si>
  <si>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</si>
  <si>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</si>
  <si>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</si>
  <si>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</si>
  <si>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</si>
  <si>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</si>
  <si>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</si>
  <si>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</si>
  <si>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</si>
  <si>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</si>
  <si>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</si>
  <si>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</si>
  <si>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</si>
  <si>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</si>
  <si>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</si>
  <si>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</si>
  <si>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</si>
  <si>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</si>
  <si>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</si>
  <si>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</si>
  <si>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</si>
  <si>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</si>
  <si>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</si>
  <si>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</si>
  <si>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</si>
  <si>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</si>
  <si>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</si>
  <si>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</si>
  <si>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</si>
  <si>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</si>
  <si>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</si>
  <si>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</si>
  <si>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</si>
  <si>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</si>
  <si>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</si>
  <si>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</si>
  <si>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</si>
  <si>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</si>
  <si>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</si>
  <si>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</si>
  <si>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</si>
  <si>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</si>
  <si>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</si>
  <si>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</si>
  <si>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</si>
  <si>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</si>
  <si>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</si>
  <si>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</si>
  <si>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</si>
  <si>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</si>
  <si>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</si>
  <si>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</si>
  <si>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</si>
  <si>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</si>
  <si>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</si>
  <si>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</si>
  <si>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</si>
  <si>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</si>
  <si>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</si>
  <si>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</si>
  <si>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</si>
  <si>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</si>
  <si>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</si>
  <si>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</si>
  <si>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</si>
  <si>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</si>
  <si>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</si>
  <si>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</si>
  <si>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</si>
  <si>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</si>
  <si>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</si>
  <si>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</si>
  <si>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</si>
  <si>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</si>
  <si>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</si>
  <si>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</si>
  <si>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</si>
  <si>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</si>
  <si>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</si>
  <si>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</si>
  <si>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</si>
  <si>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</si>
  <si>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</si>
  <si>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</si>
  <si>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</si>
  <si>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</si>
  <si>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</si>
  <si>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</si>
  <si>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</si>
  <si>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</si>
  <si>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</si>
  <si>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</si>
  <si>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</si>
  <si>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</si>
  <si>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</si>
  <si>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</si>
  <si>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</si>
  <si>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</si>
  <si>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</si>
  <si>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</si>
  <si>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</si>
  <si>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</si>
  <si>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</si>
  <si>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</si>
  <si>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</si>
  <si>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</si>
  <si>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</si>
  <si>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</si>
  <si>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</si>
  <si>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</si>
  <si>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</si>
  <si>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</si>
  <si>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</si>
  <si>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</si>
  <si>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</si>
  <si>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</si>
  <si>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</si>
  <si>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</si>
  <si>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</si>
  <si>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</si>
  <si>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</si>
  <si>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</si>
  <si>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</si>
  <si>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</si>
  <si>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</si>
  <si>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</si>
  <si>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</si>
  <si>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</si>
  <si>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</si>
  <si>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</si>
  <si>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</si>
  <si>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</si>
  <si>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</si>
  <si>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</si>
  <si>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</si>
  <si>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</si>
  <si>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</si>
  <si>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</si>
  <si>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</si>
  <si>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</si>
  <si>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</si>
  <si>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</si>
  <si>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</si>
  <si>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</si>
  <si>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</si>
  <si>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</si>
  <si>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</si>
  <si>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</si>
  <si>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</si>
  <si>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</si>
  <si>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</si>
  <si>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</si>
  <si>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</si>
  <si>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</si>
  <si>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</si>
  <si>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</si>
  <si>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</si>
  <si>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</si>
  <si>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</si>
  <si>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</si>
  <si>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</si>
  <si>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</si>
  <si>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</si>
  <si>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</si>
  <si>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</si>
  <si>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</si>
  <si>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</si>
  <si>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</si>
  <si>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</si>
  <si>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</si>
  <si>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</si>
  <si>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</si>
  <si>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</si>
  <si>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</si>
  <si>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</si>
  <si>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</si>
  <si>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</si>
  <si>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</si>
  <si>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</si>
  <si>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</si>
  <si>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</si>
  <si>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</si>
  <si>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</si>
  <si>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</si>
  <si>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</si>
  <si>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</si>
  <si>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</si>
  <si>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</si>
  <si>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</si>
  <si>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</si>
  <si>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</si>
  <si>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</si>
  <si>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</si>
  <si>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</si>
  <si>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</si>
  <si>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</si>
  <si>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</si>
  <si>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</si>
  <si>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</si>
  <si>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</si>
  <si>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</si>
  <si>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</si>
  <si>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</si>
  <si>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</si>
  <si>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</si>
  <si>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</si>
  <si>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</si>
  <si>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</si>
  <si>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</si>
  <si>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</si>
  <si>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</si>
  <si>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</si>
  <si>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</si>
  <si>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</si>
  <si>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</si>
  <si>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</si>
  <si>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</si>
  <si>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</si>
  <si>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</si>
  <si>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</si>
  <si>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</si>
  <si>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</si>
  <si>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</si>
  <si>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</si>
  <si>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</si>
  <si>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</si>
  <si>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</si>
  <si>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</si>
  <si>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</si>
  <si>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</si>
  <si>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</si>
  <si>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</si>
  <si>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</si>
  <si>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</si>
  <si>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</si>
  <si>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</si>
  <si>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</si>
  <si>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</si>
  <si>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</si>
  <si>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</si>
  <si>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</si>
  <si>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</si>
  <si>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</si>
  <si>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</si>
  <si>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</si>
  <si>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</si>
  <si>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</si>
  <si>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</si>
  <si>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</si>
  <si>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</si>
  <si>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</si>
  <si>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</si>
  <si>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</si>
  <si>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</si>
  <si>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</si>
  <si>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</si>
  <si>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</si>
  <si>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</si>
  <si>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</si>
  <si>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</si>
  <si>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</si>
  <si>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</si>
  <si>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</si>
  <si>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</si>
  <si>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</si>
  <si>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</si>
  <si>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</si>
  <si>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</si>
  <si>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</si>
  <si>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</si>
  <si>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</si>
  <si>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</si>
  <si>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</si>
  <si>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</si>
  <si>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</si>
  <si>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</si>
  <si>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</si>
  <si>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</si>
  <si>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</si>
  <si>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</si>
  <si>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</si>
  <si>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</si>
  <si>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</si>
  <si>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</si>
  <si>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</si>
  <si>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</si>
  <si>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</si>
  <si>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</si>
  <si>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</si>
  <si>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</si>
  <si>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</si>
  <si>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</si>
  <si>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</si>
  <si>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</si>
  <si>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</si>
  <si>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</si>
  <si>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</si>
  <si>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</si>
  <si>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</si>
  <si>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</si>
  <si>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</si>
  <si>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</si>
  <si>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</si>
  <si>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</si>
  <si>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</si>
  <si>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</si>
  <si>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</si>
  <si>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</si>
  <si>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</si>
  <si>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</si>
  <si>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</si>
  <si>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</si>
  <si>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</si>
  <si>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</si>
  <si>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</si>
  <si>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</si>
  <si>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</si>
  <si>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</si>
  <si>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</si>
  <si>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</si>
  <si>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</si>
  <si>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</si>
  <si>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</si>
  <si>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</si>
  <si>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</si>
  <si>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</si>
  <si>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</si>
  <si>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</si>
  <si>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</si>
  <si>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</si>
  <si>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</si>
  <si>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</si>
  <si>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</si>
  <si>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</si>
  <si>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</si>
  <si>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</si>
  <si>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</si>
  <si>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</si>
  <si>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</si>
  <si>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</si>
  <si>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</si>
  <si>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</si>
  <si>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</si>
  <si>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</si>
  <si>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</si>
  <si>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</si>
  <si>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</si>
  <si>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</si>
  <si>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</si>
  <si>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</si>
  <si>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</si>
  <si>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</si>
  <si>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</si>
  <si>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</si>
  <si>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</si>
  <si>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</si>
  <si>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</si>
  <si>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</si>
  <si>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</si>
  <si>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</si>
  <si>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</si>
  <si>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</si>
  <si>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</si>
  <si>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</si>
  <si>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</si>
  <si>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</si>
  <si>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</si>
  <si>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</si>
  <si>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</si>
  <si>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</si>
  <si>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</si>
  <si>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</si>
  <si>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</si>
  <si>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</si>
  <si>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</si>
  <si>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</si>
  <si>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</si>
  <si>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</si>
  <si>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</si>
  <si>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</si>
  <si>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</si>
  <si>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</si>
  <si>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</si>
  <si>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</si>
  <si>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</si>
  <si>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</si>
  <si>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</si>
  <si>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</si>
  <si>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</si>
  <si>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</si>
  <si>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</si>
  <si>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</si>
  <si>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</si>
  <si>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</si>
  <si>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</si>
  <si>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</si>
  <si>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</si>
  <si>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</si>
  <si>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</si>
  <si>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</si>
  <si>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</si>
  <si>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</si>
  <si>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</si>
  <si>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</si>
  <si>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</si>
  <si>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</si>
  <si>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</si>
  <si>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</si>
  <si>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</si>
  <si>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</si>
  <si>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</si>
  <si>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</si>
  <si>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</si>
  <si>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</si>
  <si>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</si>
  <si>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</si>
  <si>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</si>
  <si>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</si>
  <si>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</si>
  <si>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</si>
  <si>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</si>
  <si>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</si>
  <si>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</si>
  <si>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</si>
  <si>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</si>
  <si>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</si>
  <si>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</si>
  <si>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</si>
  <si>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</si>
  <si>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</si>
  <si>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</si>
  <si>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</si>
  <si>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</si>
  <si>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</si>
  <si>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</si>
  <si>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</si>
  <si>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</si>
  <si>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</si>
  <si>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</si>
  <si>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</si>
  <si>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</si>
  <si>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</si>
  <si>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</si>
  <si>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</si>
  <si>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</si>
  <si>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</si>
  <si>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</si>
  <si>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</si>
  <si>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</si>
  <si>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</si>
  <si>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</si>
  <si>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</si>
  <si>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</si>
  <si>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</si>
  <si>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</si>
  <si>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</si>
  <si>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</si>
  <si>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</si>
  <si>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</si>
  <si>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</si>
  <si>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</si>
  <si>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</si>
  <si>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</si>
  <si>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</si>
  <si>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</si>
  <si>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</si>
  <si>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</si>
  <si>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</si>
  <si>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</si>
  <si>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</si>
  <si>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</si>
  <si>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</si>
  <si>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</si>
  <si>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</si>
  <si>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</si>
  <si>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</si>
  <si>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</si>
  <si>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</si>
  <si>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</si>
  <si>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</si>
  <si>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</si>
  <si>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</si>
  <si>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</si>
  <si>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</si>
  <si>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</si>
  <si>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</si>
  <si>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</si>
  <si>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</si>
  <si>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</si>
  <si>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</si>
  <si>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</si>
  <si>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</si>
  <si>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</si>
  <si>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</si>
  <si>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</si>
  <si>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</si>
  <si>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</si>
  <si>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</si>
  <si>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</si>
  <si>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</si>
  <si>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</si>
  <si>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</si>
  <si>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</si>
  <si>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</si>
  <si>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</si>
  <si>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</si>
  <si>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</si>
  <si>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</si>
  <si>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</si>
  <si>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</si>
  <si>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</si>
  <si>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</si>
  <si>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</si>
  <si>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</si>
  <si>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</si>
  <si>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</si>
  <si>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</si>
  <si>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</si>
  <si>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</si>
  <si>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</si>
  <si>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</si>
  <si>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</si>
  <si>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</si>
  <si>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</si>
  <si>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</si>
  <si>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</si>
  <si>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</si>
  <si>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</si>
  <si>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</si>
  <si>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</si>
  <si>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</si>
  <si>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</si>
  <si>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</si>
  <si>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</si>
  <si>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</si>
  <si>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</si>
  <si>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</si>
  <si>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</si>
  <si>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</si>
  <si>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</si>
  <si>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</si>
  <si>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</si>
  <si>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</si>
  <si>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</si>
  <si>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</si>
  <si>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</si>
  <si>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</si>
  <si>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</si>
  <si>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</si>
  <si>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</si>
  <si>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</si>
  <si>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</si>
  <si>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</si>
  <si>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</si>
  <si>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</si>
  <si>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</si>
  <si>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</si>
  <si>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</si>
  <si>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</si>
  <si>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</si>
  <si>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</si>
  <si>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</si>
  <si>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</si>
  <si>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</si>
  <si>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</si>
  <si>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</si>
  <si>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</si>
  <si>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</si>
  <si>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</si>
  <si>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</si>
  <si>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</si>
  <si>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</si>
  <si>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</si>
  <si>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</si>
  <si>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</si>
  <si>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</si>
  <si>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</si>
  <si>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</si>
  <si>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</si>
  <si>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</si>
  <si>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</si>
  <si>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</si>
  <si>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</si>
  <si>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</si>
  <si>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</si>
  <si>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</si>
  <si>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</si>
  <si>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</si>
  <si>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</si>
  <si>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</si>
  <si>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</si>
  <si>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</si>
  <si>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</si>
  <si>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</si>
  <si>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</si>
  <si>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</si>
  <si>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</si>
  <si>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</si>
  <si>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</si>
  <si>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</si>
  <si>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</si>
  <si>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</si>
  <si>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</si>
  <si>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</si>
  <si>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</si>
  <si>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</si>
  <si>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</si>
  <si>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</si>
  <si>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</si>
  <si>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</si>
  <si>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</si>
  <si>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</si>
  <si>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</si>
  <si>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</si>
  <si>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</si>
  <si>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</si>
  <si>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</si>
  <si>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</si>
  <si>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</si>
  <si>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</si>
  <si>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</si>
  <si>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</si>
  <si>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</si>
  <si>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</si>
  <si>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</si>
  <si>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</si>
  <si>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</si>
  <si>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</si>
  <si>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</si>
  <si>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</si>
  <si>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</si>
  <si>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</si>
  <si>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</si>
  <si>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</si>
  <si>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</si>
  <si>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</si>
  <si>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</si>
  <si>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</si>
  <si>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</si>
  <si>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</si>
  <si>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</si>
  <si>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</si>
  <si>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</si>
  <si>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</si>
  <si>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</si>
  <si>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</si>
  <si>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</si>
  <si>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</si>
  <si>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</si>
  <si>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</si>
  <si>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</si>
  <si>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</si>
  <si>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</si>
  <si>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</si>
  <si>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</si>
  <si>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</si>
  <si>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</si>
  <si>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</si>
  <si>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</si>
  <si>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</si>
  <si>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</si>
  <si>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</si>
  <si>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</si>
  <si>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</si>
  <si>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</si>
  <si>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</si>
  <si>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</si>
  <si>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</si>
  <si>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</si>
  <si>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</si>
  <si>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</si>
  <si>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</si>
  <si>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</si>
  <si>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</si>
  <si>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</si>
  <si>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</si>
  <si>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</si>
  <si>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</si>
  <si>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</si>
  <si>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</si>
  <si>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</si>
  <si>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</si>
  <si>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</si>
  <si>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</si>
  <si>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</si>
  <si>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</si>
  <si>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</si>
  <si>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</si>
  <si>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</si>
  <si>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</si>
  <si>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</si>
  <si>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</si>
  <si>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</si>
  <si>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</si>
  <si>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</si>
  <si>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</si>
  <si>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</si>
  <si>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</si>
  <si>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</si>
  <si>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</si>
  <si>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</si>
  <si>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</si>
  <si>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</si>
  <si>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</si>
  <si>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</si>
  <si>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</si>
  <si>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</si>
  <si>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</si>
  <si>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</si>
  <si>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</si>
  <si>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</si>
  <si>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</si>
  <si>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</si>
  <si>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</si>
  <si>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</si>
  <si>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</si>
  <si>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</si>
  <si>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</si>
  <si>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</si>
  <si>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</si>
  <si>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</si>
  <si>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</si>
  <si>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</si>
  <si>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</si>
  <si>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</si>
  <si>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</si>
  <si>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</si>
  <si>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</si>
  <si>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</si>
  <si>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</si>
  <si>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</si>
  <si>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</si>
  <si>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</si>
  <si>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</si>
  <si>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</si>
  <si>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</si>
  <si>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</si>
  <si>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</si>
  <si>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</si>
  <si>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</si>
  <si>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</si>
  <si>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</si>
  <si>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</si>
  <si>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</si>
  <si>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</si>
  <si>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</si>
  <si>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</si>
  <si>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</si>
  <si>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</si>
  <si>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</si>
  <si>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</si>
  <si>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</si>
  <si>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</si>
  <si>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</si>
  <si>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</si>
  <si>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</si>
  <si>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</si>
  <si>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</si>
  <si>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</si>
  <si>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</si>
  <si>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</si>
  <si>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</si>
  <si>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</si>
  <si>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</si>
  <si>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</si>
  <si>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</si>
  <si>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</si>
  <si>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</si>
  <si>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</si>
  <si>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</si>
  <si>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</si>
  <si>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</si>
  <si>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</si>
  <si>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</si>
  <si>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</si>
  <si>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</si>
  <si>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</si>
  <si>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</si>
  <si>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</si>
  <si>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</si>
  <si>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</si>
  <si>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</si>
  <si>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</si>
  <si>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</si>
  <si>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</si>
  <si>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</si>
  <si>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</si>
  <si>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</si>
  <si>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</si>
  <si>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</si>
  <si>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</si>
  <si>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</si>
  <si>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</si>
  <si>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</si>
  <si>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</si>
  <si>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</si>
  <si>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</si>
  <si>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</si>
  <si>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</si>
  <si>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</si>
  <si>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</si>
  <si>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</si>
  <si>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</si>
  <si>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</si>
  <si>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</si>
  <si>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</si>
  <si>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</si>
  <si>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</si>
  <si>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</si>
  <si>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</si>
  <si>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</si>
  <si>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</si>
  <si>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</si>
  <si>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</si>
  <si>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</si>
  <si>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</si>
  <si>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</si>
  <si>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</si>
  <si>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</si>
  <si>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</si>
  <si>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</si>
  <si>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</si>
  <si>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</si>
  <si>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</si>
  <si>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</si>
  <si>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</si>
  <si>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</si>
  <si>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</si>
  <si>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</si>
  <si>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</si>
  <si>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</si>
  <si>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</si>
  <si>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</si>
  <si>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</si>
  <si>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</si>
  <si>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</si>
  <si>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</si>
  <si>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</si>
  <si>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</si>
  <si>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</si>
  <si>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</si>
  <si>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</si>
  <si>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</si>
  <si>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</si>
  <si>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</si>
  <si>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</si>
  <si>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</si>
  <si>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</si>
  <si>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</si>
  <si>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</si>
  <si>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</si>
  <si>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</si>
  <si>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</si>
  <si>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</si>
  <si>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</si>
  <si>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</si>
  <si>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</si>
  <si>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</si>
  <si>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</si>
  <si>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</si>
  <si>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</si>
  <si>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</si>
  <si>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</si>
  <si>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</si>
  <si>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</si>
  <si>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</si>
  <si>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</si>
  <si>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</si>
  <si>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</si>
  <si>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</si>
  <si>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</si>
  <si>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</si>
  <si>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</si>
  <si>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</si>
  <si>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</si>
  <si>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</si>
  <si>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</si>
  <si>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</si>
  <si>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</si>
  <si>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</si>
  <si>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</si>
  <si>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</si>
  <si>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</si>
  <si>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</si>
  <si>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</si>
  <si>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</si>
  <si>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</si>
  <si>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</si>
  <si>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</si>
  <si>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</si>
  <si>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</si>
  <si>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</si>
  <si>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</si>
  <si>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</si>
  <si>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</si>
  <si>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</si>
  <si>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</si>
  <si>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</si>
  <si>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</si>
  <si>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</si>
  <si>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</si>
  <si>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</si>
  <si>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</si>
  <si>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</si>
  <si>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</si>
  <si>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</si>
  <si>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</si>
  <si>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</si>
  <si>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</si>
  <si>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</si>
  <si>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</si>
  <si>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</si>
  <si>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</si>
  <si>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</si>
  <si>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</si>
  <si>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</si>
  <si>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</si>
  <si>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</si>
  <si>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</si>
  <si>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</si>
  <si>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</si>
  <si>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</si>
  <si>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</si>
  <si>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</si>
  <si>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</si>
  <si>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</si>
  <si>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</si>
  <si>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</si>
  <si>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</si>
  <si>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</si>
  <si>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</si>
  <si>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</si>
  <si>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</si>
  <si>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</si>
  <si>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</si>
  <si>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</si>
  <si>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</si>
  <si>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</si>
  <si>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</si>
  <si>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</si>
  <si>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</si>
  <si>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</si>
  <si>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</si>
  <si>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</si>
  <si>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</si>
  <si>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</si>
  <si>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</si>
  <si>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</si>
  <si>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</si>
  <si>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</si>
  <si>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</si>
  <si>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</si>
  <si>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</si>
  <si>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</si>
  <si>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</si>
  <si>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</si>
  <si>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</si>
  <si>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</si>
  <si>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</si>
  <si>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</si>
  <si>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</si>
  <si>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</si>
  <si>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</si>
  <si>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</si>
  <si>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</si>
  <si>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</si>
  <si>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</si>
  <si>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</si>
  <si>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</si>
  <si>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</si>
  <si>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</si>
  <si>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</si>
  <si>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</si>
  <si>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</si>
  <si>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</si>
  <si>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</si>
  <si>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</si>
  <si>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</si>
  <si>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</si>
  <si>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</si>
  <si>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</si>
  <si>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</si>
  <si>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</si>
  <si>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</si>
  <si>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</si>
  <si>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</si>
  <si>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</si>
  <si>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</si>
  <si>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</si>
  <si>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</si>
  <si>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</si>
  <si>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</si>
  <si>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</si>
  <si>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</si>
  <si>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</si>
  <si>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</si>
  <si>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</si>
  <si>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</si>
  <si>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</si>
  <si>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</si>
  <si>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</si>
  <si>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</si>
  <si>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</si>
  <si>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</si>
  <si>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</si>
  <si>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</si>
  <si>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</si>
  <si>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</si>
  <si>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</si>
  <si>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</si>
  <si>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</si>
  <si>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</si>
  <si>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</si>
  <si>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</si>
  <si>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</si>
  <si>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</si>
  <si>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</si>
  <si>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</si>
  <si>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</si>
  <si>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</si>
  <si>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</si>
  <si>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</si>
  <si>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</si>
  <si>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</si>
  <si>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</si>
  <si>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</si>
  <si>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</si>
  <si>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</si>
  <si>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</si>
  <si>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</si>
  <si>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</si>
  <si>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</si>
  <si>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</si>
  <si>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</si>
  <si>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</si>
  <si>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</si>
  <si>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</si>
  <si>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</si>
  <si>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</si>
  <si>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</si>
  <si>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</si>
  <si>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</si>
  <si>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</si>
  <si>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</si>
  <si>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</si>
  <si>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</si>
  <si>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</si>
  <si>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</si>
  <si>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</si>
  <si>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</si>
  <si>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</si>
  <si>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</si>
  <si>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</si>
  <si>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</si>
  <si>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</si>
  <si>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</si>
  <si>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</si>
  <si>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</si>
  <si>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</si>
  <si>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</si>
  <si>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</si>
  <si>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</si>
  <si>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</si>
  <si>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</si>
  <si>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</si>
  <si>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</si>
  <si>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</si>
  <si>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</si>
  <si>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</si>
  <si>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</si>
  <si>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</si>
  <si>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</si>
  <si>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</si>
  <si>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</si>
  <si>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</si>
  <si>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</si>
  <si>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</si>
  <si>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</si>
  <si>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</si>
  <si>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</si>
  <si>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</si>
  <si>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</si>
  <si>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</si>
  <si>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</si>
  <si>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</si>
  <si>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</si>
  <si>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</si>
  <si>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</si>
  <si>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</si>
  <si>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</si>
  <si>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</si>
  <si>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</si>
  <si>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</si>
  <si>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</si>
  <si>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</si>
  <si>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</si>
  <si>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</si>
  <si>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</si>
  <si>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</si>
  <si>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</si>
  <si>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</si>
  <si>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</si>
  <si>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</si>
  <si>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</si>
  <si>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</si>
  <si>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</si>
  <si>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</si>
  <si>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</si>
  <si>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</si>
  <si>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</si>
  <si>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</si>
  <si>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</si>
  <si>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</si>
  <si>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</si>
  <si>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</si>
  <si>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</si>
  <si>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</si>
  <si>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</si>
  <si>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</si>
  <si>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</si>
  <si>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</si>
  <si>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</si>
  <si>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</si>
  <si>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</si>
  <si>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</si>
  <si>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</si>
  <si>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</si>
  <si>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</si>
  <si>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</si>
  <si>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</si>
  <si>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</si>
  <si>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</si>
  <si>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</si>
  <si>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</si>
  <si>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</si>
  <si>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</si>
  <si>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</si>
  <si>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</si>
  <si>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</si>
  <si>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</si>
  <si>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</si>
  <si>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</si>
  <si>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</si>
  <si>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</si>
  <si>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</si>
  <si>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</si>
  <si>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</si>
  <si>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</si>
  <si>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</si>
  <si>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</si>
  <si>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</si>
  <si>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</si>
  <si>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</si>
  <si>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</si>
  <si>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</si>
  <si>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</si>
  <si>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</si>
  <si>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</si>
  <si>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</si>
  <si>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</si>
  <si>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</si>
  <si>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</si>
  <si>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</si>
  <si>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</si>
  <si>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</si>
  <si>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</si>
  <si>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</si>
  <si>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</si>
  <si>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</si>
  <si>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</si>
  <si>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</si>
  <si>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</si>
  <si>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</si>
  <si>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</si>
  <si>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</si>
  <si>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</si>
  <si>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</si>
  <si>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</si>
  <si>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</si>
  <si>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</si>
  <si>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</si>
  <si>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</si>
  <si>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</si>
  <si>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</si>
  <si>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</si>
  <si>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</si>
  <si>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</si>
  <si>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</si>
  <si>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</si>
  <si>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</si>
  <si>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</si>
  <si>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</si>
  <si>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</si>
  <si>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</si>
  <si>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</si>
  <si>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</si>
  <si>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</si>
  <si>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</si>
  <si>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</si>
  <si>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</si>
  <si>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</si>
  <si>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</si>
  <si>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</si>
  <si>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</si>
  <si>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</si>
  <si>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</si>
  <si>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</si>
  <si>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</si>
  <si>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</si>
  <si>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</si>
  <si>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</si>
  <si>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</si>
  <si>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</si>
  <si>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</si>
  <si>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</si>
  <si>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</si>
  <si>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</si>
  <si>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</si>
  <si>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</si>
  <si>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</si>
  <si>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</si>
  <si>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</si>
  <si>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</si>
  <si>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</si>
  <si>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</si>
  <si>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</si>
  <si>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</si>
  <si>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</si>
  <si>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</si>
  <si>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</si>
  <si>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Count of TX ID</t>
  </si>
  <si>
    <t>Sum of Quantity</t>
  </si>
  <si>
    <t>Sum of Amount</t>
  </si>
  <si>
    <t>Average of Rating C</t>
  </si>
  <si>
    <t>Average of Days to Deliver</t>
  </si>
  <si>
    <t>Avg Rating</t>
  </si>
  <si>
    <t>Avg Days</t>
  </si>
  <si>
    <t>Row Labels</t>
  </si>
  <si>
    <t>Grand Total</t>
  </si>
  <si>
    <t>Column Labels</t>
  </si>
  <si>
    <t>Female</t>
  </si>
  <si>
    <t>Male</t>
  </si>
  <si>
    <t>Other</t>
  </si>
  <si>
    <t>Unknown</t>
  </si>
  <si>
    <t>6-15</t>
  </si>
  <si>
    <t>more than 15</t>
  </si>
  <si>
    <t>California Total</t>
  </si>
  <si>
    <t>0-4</t>
  </si>
  <si>
    <t>5-9</t>
  </si>
  <si>
    <t>10-14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</si>
</sst>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3" formatCode="[$$-409]#,##0"/>
    <numFmt numFmtId="174" formatCode="0.0"/>
  </numFmts>
  <fonts count="6"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b/>
      <i/>
      <sz val="11"/>
      <color theme="1"/>
      <name val="Aptos Narrow"/>
      <family val="2"/>
      <scheme val="minor"/>
    </font>
    <font>
      <b/>
      <i/>
      <sz val="12"/>
      <color theme="1"/>
      <name val="Aptos Narrow"/>
      <family val="2"/>
      <scheme val="minor"/>
    </font>
  </fonts>
  <fills count="9">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op>
      <bottom style="thin">
        <color theme="4"/>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0" xfId="0" applyNumberFormat="1"/>
    <xf numFmtId="0" fontId="1" fillId="8" borderId="1" xfId="0" applyFont="1" applyFill="1" applyBorder="1"/>
    <xf numFmtId="2" fontId="0" fillId="0" borderId="0" xfId="0" applyNumberFormat="1"/>
    <xf numFmtId="173" fontId="0" fillId="0" borderId="0" xfId="0" applyNumberFormat="1"/>
    <xf numFmtId="174" fontId="0" fillId="0" borderId="0" xfId="0" applyNumberFormat="1"/>
    <xf numFmtId="0" fontId="0" fillId="0" borderId="0" xfId="0" pivotButton="1"/>
    <xf numFmtId="0" fontId="0" fillId="0" borderId="0" xfId="0" applyAlignment="1">
      <alignment horizontal="left"/>
    </xf>
    <xf numFmtId="0" fontId="1" fillId="0" borderId="0" xfId="0" applyFont="1"/>
    <xf numFmtId="0" fontId="4" fillId="0" borderId="0" xfId="0" applyFont="1"/>
    <xf numFmtId="0" fontId="5" fillId="0" borderId="0" xfId="0" applyFont="1" applyAlignment="1">
      <alignment horizontal="left"/>
    </xf>
    <xf numFmtId="0" fontId="1" fillId="0" borderId="2" xfId="0" applyFont="1" applyBorder="1"/>
    <xf numFmtId="0" fontId="1" fillId="0" borderId="2" xfId="0" applyNumberFormat="1" applyFont="1" applyBorder="1"/>
  </cellXfs>
  <cellStyles count="2">
    <cellStyle name="Hyperlink" xfId="1" builtinId="8"/>
    <cellStyle name="Normal" xfId="0" builtinId="0"/>
  </cellStyles>
  <dxfs count="5">
    <dxf>
      <numFmt numFmtId="0" formatCode="General"/>
    </dxf>
    <dxf>
      <numFmt numFmtId="0" formatCode="General"/>
    </dxf>
    <dxf>
      <numFmt numFmtId="0" formatCode="General"/>
    </dxf>
    <dxf>
      <numFmt numFmtId="164" formatCode="d\-mmm\-yy"/>
    </dxf>
    <dxf>
      <numFmt numFmtId="164" formatCode="d\-mmm\-yy"/>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[ecommerce-blank.xlsx]Pivots!Weeknum Trend</c:name>
    <c:fmtId val="6"/>
  </c:pivotSource>
  <c:chart>
    <c:title>
      <c:tx>
        <c:rich>
          <a:bodyPr rot="0" spcFirstLastPara="1" vertOverflow="ellipsis" vert="horz" wrap="square" anchor="ctr" anchorCtr="1"/>
          <a:lstStyle/>
          <a:p>
            <a:pPr algn="ctr" rtl="0">
              <a:defRPr lang="en-IN" sz="1400" b="1" i="1" u="none" strike="noStrike" kern="1200" spc="0" baseline="0">
                <a:solidFill>
                  <a:sysClr val="windowText" lastClr="000000">
                    <a:lumMod val="65000"/>
                    <a:lumOff val="35000"/>
                  </a:sysClr>
                </a:solidFill>
                <a:latin typeface="+mn-lt"/>
                <a:ea typeface="+mn-ea"/>
                <a:cs typeface="+mn-cs"/>
              </a:defRPr>
            </a:pPr>
            <a:r>
              <a:rPr lang="en-IN" sz="1400" b="1" i="1" u="none" strike="noStrike" kern="1200" spc="0" baseline="0">
                <a:solidFill>
                  <a:sysClr val="windowText" lastClr="000000">
                    <a:lumMod val="65000"/>
                    <a:lumOff val="35000"/>
                  </a:sysClr>
                </a:solidFill>
                <a:latin typeface="+mn-lt"/>
                <a:ea typeface="+mn-ea"/>
                <a:cs typeface="+mn-cs"/>
              </a:rPr>
              <a:t>Weekly trend</a:t>
            </a:r>
          </a:p>
        </c:rich>
      </c:tx>
      <c:overlay val="0"/>
      <c:spPr>
        <a:noFill/>
        <a:ln>
          <a:noFill/>
        </a:ln>
        <a:effectLst/>
      </c:spPr>
      <c:txPr>
        <a:bodyPr rot="0" spcFirstLastPara="1" vertOverflow="ellipsis" vert="horz" wrap="square" anchor="ctr" anchorCtr="1"/>
        <a:lstStyle/>
        <a:p>
          <a:pPr algn="ctr" rtl="0">
            <a:defRPr lang="en-IN" sz="1400" b="1" i="1"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prstDash val="sysDash"/>
            <a:round/>
          </a:ln>
          <a:effectLst/>
        </c:spPr>
        <c:marker>
          <c:symbol val="x"/>
          <c:size val="5"/>
          <c:spPr>
            <a:no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prstDash val="sysDash"/>
            <a:round/>
          </a:ln>
          <a:effectLst/>
        </c:spPr>
        <c:marker>
          <c:symbol val="x"/>
          <c:size val="5"/>
          <c:spPr>
            <a:no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prstDash val="sysDash"/>
            <a:round/>
          </a:ln>
          <a:effectLst/>
        </c:spPr>
        <c:marker>
          <c:symbol val="x"/>
          <c:size val="5"/>
          <c:spPr>
            <a:no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Pivots!$B$11</c:f>
              <c:strCache>
                <c:ptCount val="1"/>
                <c:pt idx="0">
                  <c:v>Count of TX 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Pivots!$B$12:$B$25</c:f>
              <c:numCache>
                <c:formatCode>General</c:formatCode>
                <c:ptCount val="13"/>
                <c:pt idx="0">
                  <c:v>101</c:v>
                </c:pt>
                <c:pt idx="1">
                  <c:v>155</c:v>
                </c:pt>
                <c:pt idx="2">
                  <c:v>151</c:v>
                </c:pt>
                <c:pt idx="3">
                  <c:v>175</c:v>
                </c:pt>
                <c:pt idx="4">
                  <c:v>162</c:v>
                </c:pt>
                <c:pt idx="5">
                  <c:v>240</c:v>
                </c:pt>
                <c:pt idx="6">
                  <c:v>191</c:v>
                </c:pt>
                <c:pt idx="7">
                  <c:v>236</c:v>
                </c:pt>
                <c:pt idx="8">
                  <c:v>202</c:v>
                </c:pt>
                <c:pt idx="9">
                  <c:v>214</c:v>
                </c:pt>
                <c:pt idx="10">
                  <c:v>189</c:v>
                </c:pt>
                <c:pt idx="11">
                  <c:v>200</c:v>
                </c:pt>
                <c:pt idx="12">
                  <c:v>184</c:v>
                </c:pt>
              </c:numCache>
            </c:numRef>
          </c:val>
          <c:smooth val="0"/>
          <c:extLst>
            <c:ext xmlns:c16="http://schemas.microsoft.com/office/drawing/2014/chart" uri="{C3380CC4-5D6E-409C-BE32-E72D297353CC}">
              <c16:uniqueId val="{00000000-CC20-4469-8EDF-8BC13596C99A}"/>
            </c:ext>
          </c:extLst>
        </c:ser>
        <c:dLbls>
          <c:showLegendKey val="0"/>
          <c:showVal val="0"/>
          <c:showCatName val="0"/>
          <c:showSerName val="0"/>
          <c:showPercent val="0"/>
          <c:showBubbleSize val="0"/>
        </c:dLbls>
        <c:marker val="1"/>
        <c:smooth val="0"/>
        <c:axId val="236076464"/>
        <c:axId val="236078384"/>
      </c:lineChart>
      <c:lineChart>
        <c:grouping val="standard"/>
        <c:varyColors val="0"/>
        <c:ser>
          <c:idx val="1"/>
          <c:order val="1"/>
          <c:tx>
            <c:strRef>
              <c:f>Pivots!$C$11</c:f>
              <c:strCache>
                <c:ptCount val="1"/>
                <c:pt idx="0">
                  <c:v>Sum of Amount</c:v>
                </c:pt>
              </c:strCache>
            </c:strRef>
          </c:tx>
          <c:spPr>
            <a:ln w="28575" cap="rnd">
              <a:solidFill>
                <a:schemeClr val="accent2"/>
              </a:solidFill>
              <a:prstDash val="sysDash"/>
              <a:round/>
            </a:ln>
            <a:effectLst/>
          </c:spPr>
          <c:marker>
            <c:symbol val="x"/>
            <c:size val="5"/>
            <c:spPr>
              <a:noFill/>
              <a:ln w="9525">
                <a:solidFill>
                  <a:schemeClr val="accent2"/>
                </a:solidFill>
              </a:ln>
              <a:effectLst/>
            </c:spPr>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Pivots!$C$12:$C$25</c:f>
              <c:numCache>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CC20-4469-8EDF-8BC13596C99A}"/>
            </c:ext>
          </c:extLst>
        </c:ser>
        <c:dLbls>
          <c:showLegendKey val="0"/>
          <c:showVal val="0"/>
          <c:showCatName val="0"/>
          <c:showSerName val="0"/>
          <c:showPercent val="0"/>
          <c:showBubbleSize val="0"/>
        </c:dLbls>
        <c:marker val="1"/>
        <c:smooth val="0"/>
        <c:axId val="560811328"/>
        <c:axId val="560806528"/>
      </c:lineChart>
      <c:catAx>
        <c:axId val="23607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078384"/>
        <c:crosses val="autoZero"/>
        <c:auto val="1"/>
        <c:lblAlgn val="ctr"/>
        <c:lblOffset val="100"/>
        <c:noMultiLvlLbl val="0"/>
      </c:catAx>
      <c:valAx>
        <c:axId val="236078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076464"/>
        <c:crosses val="autoZero"/>
        <c:crossBetween val="between"/>
      </c:valAx>
      <c:valAx>
        <c:axId val="56080652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811328"/>
        <c:crosses val="max"/>
        <c:crossBetween val="between"/>
      </c:valAx>
      <c:catAx>
        <c:axId val="560811328"/>
        <c:scaling>
          <c:orientation val="minMax"/>
        </c:scaling>
        <c:delete val="1"/>
        <c:axPos val="b"/>
        <c:numFmt formatCode="General" sourceLinked="1"/>
        <c:majorTickMark val="out"/>
        <c:minorTickMark val="none"/>
        <c:tickLblPos val="nextTo"/>
        <c:crossAx val="560806528"/>
        <c:crosses val="autoZero"/>
        <c:auto val="1"/>
        <c:lblAlgn val="ctr"/>
        <c:lblOffset val="100"/>
        <c:noMultiLvlLbl val="0"/>
      </c:cat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[ecommerce-blank.xlsx]Pivots!Quantity</c:name>
    <c:fmtId val="7"/>
  </c:pivotSource>
  <c:chart>
    <c:title>
      <c:tx>
        <c:rich>
          <a:bodyPr rot="0" spcFirstLastPara="1" vertOverflow="ellipsis" vert="horz" wrap="square" anchor="ctr" anchorCtr="1"/>
          <a:lstStyle/>
          <a:p>
            <a:pPr algn="ctr" rtl="0">
              <a:defRPr lang="en-IN" sz="1400" b="1" i="1" u="none" strike="noStrike" kern="1200" spc="0" baseline="0">
                <a:solidFill>
                  <a:sysClr val="windowText" lastClr="000000">
                    <a:lumMod val="65000"/>
                    <a:lumOff val="35000"/>
                  </a:sysClr>
                </a:solidFill>
                <a:latin typeface="+mn-lt"/>
                <a:ea typeface="+mn-ea"/>
                <a:cs typeface="+mn-cs"/>
              </a:defRPr>
            </a:pPr>
            <a:r>
              <a:rPr lang="en-IN" sz="1400" b="1" i="1" u="none" strike="noStrike" kern="1200" spc="0" baseline="0">
                <a:solidFill>
                  <a:sysClr val="windowText" lastClr="000000">
                    <a:lumMod val="65000"/>
                    <a:lumOff val="35000"/>
                  </a:sysClr>
                </a:solidFill>
                <a:latin typeface="+mn-lt"/>
                <a:ea typeface="+mn-ea"/>
                <a:cs typeface="+mn-cs"/>
              </a:rPr>
              <a:t>Quantity split</a:t>
            </a:r>
          </a:p>
        </c:rich>
      </c:tx>
      <c:overlay val="0"/>
      <c:spPr>
        <a:noFill/>
        <a:ln>
          <a:noFill/>
        </a:ln>
        <a:effectLst/>
      </c:spPr>
      <c:txPr>
        <a:bodyPr rot="0" spcFirstLastPara="1" vertOverflow="ellipsis" vert="horz" wrap="square" anchor="ctr" anchorCtr="1"/>
        <a:lstStyle/>
        <a:p>
          <a:pPr algn="ctr" rtl="0">
            <a:defRPr lang="en-IN" sz="1400" b="1" i="1"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Pivots!$B$36</c:f>
              <c:strCache>
                <c:ptCount val="1"/>
                <c:pt idx="0">
                  <c:v>Total</c:v>
                </c:pt>
              </c:strCache>
            </c:strRef>
          </c:tx>
          <c:spPr>
            <a:solidFill>
              <a:schemeClr val="accent6"/>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Pivots!$A$37:$A$44</c:f>
              <c:strCache>
                <c:ptCount val="7"/>
                <c:pt idx="0">
                  <c:v>1</c:v>
                </c:pt>
                <c:pt idx="1">
                  <c:v>2</c:v>
                </c:pt>
                <c:pt idx="2">
                  <c:v>3</c:v>
                </c:pt>
                <c:pt idx="3">
                  <c:v>4</c:v>
                </c:pt>
                <c:pt idx="4">
                  <c:v>5</c:v>
                </c:pt>
                <c:pt idx="5">
                  <c:v>6-15</c:v>
                </c:pt>
                <c:pt idx="6">
                  <c:v>more than 15</c:v>
                </c:pt>
              </c:strCache>
            </c:strRef>
          </c:cat>
          <c:val>
            <c:numRef>
              <c:f>Pivots!$B$37:$B$44</c:f>
              <c:numCache>
                <c:formatCode>General</c:formatCode>
                <c:ptCount val="7"/>
                <c:pt idx="0">
                  <c:v>397</c:v>
                </c:pt>
                <c:pt idx="1">
                  <c:v>540</c:v>
                </c:pt>
                <c:pt idx="2">
                  <c:v>375</c:v>
                </c:pt>
                <c:pt idx="3">
                  <c:v>246</c:v>
                </c:pt>
                <c:pt idx="4">
                  <c:v>195</c:v>
                </c:pt>
                <c:pt idx="5">
                  <c:v>539</c:v>
                </c:pt>
                <c:pt idx="6">
                  <c:v>108</c:v>
                </c:pt>
              </c:numCache>
            </c:numRef>
          </c:val>
          <c:extLst>
            <c:ext xmlns:c16="http://schemas.microsoft.com/office/drawing/2014/chart" uri="{C3380CC4-5D6E-409C-BE32-E72D297353CC}">
              <c16:uniqueId val="{00000000-C91A-48D1-AC55-85BD02DA848C}"/>
            </c:ext>
          </c:extLst>
        </c:ser>
        <c:dLbls>
          <c:dLblPos val="outEnd"/>
          <c:showLegendKey val="0"/>
          <c:showVal val="1"/>
          <c:showCatName val="0"/>
          <c:showSerName val="0"/>
          <c:showPercent val="0"/>
          <c:showBubbleSize val="0"/>
        </c:dLbls>
        <c:gapWidth val="10"/>
        <c:overlap val="-27"/>
        <c:axId val="642790672"/>
        <c:axId val="642784432"/>
      </c:barChart>
      <c:catAx>
        <c:axId val="64279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42784432"/>
        <c:crosses val="autoZero"/>
        <c:auto val="1"/>
        <c:lblAlgn val="ctr"/>
        <c:lblOffset val="100"/>
        <c:noMultiLvlLbl val="0"/>
      </c:catAx>
      <c:valAx>
        <c:axId val="642784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790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[ecommerce-blank.xlsx]Pivots!Popular products</c:name>
    <c:fmtId val="9"/>
  </c:pivotSource>
  <c:chart>
    <c:title>
      <c:tx>
        <c:rich>
          <a:bodyPr rot="0" spcFirstLastPara="1" vertOverflow="ellipsis" vert="horz" wrap="square" anchor="ctr" anchorCtr="1"/>
          <a:lstStyle/>
          <a:p>
            <a:pPr algn="ctr" rtl="0">
              <a:defRPr lang="en-US" sz="1200" b="0" i="0" u="none" strike="noStrike" kern="1200" spc="0" baseline="0">
                <a:solidFill>
                  <a:schemeClr val="tx1"/>
                </a:solidFill>
                <a:latin typeface="+mn-lt"/>
                <a:ea typeface="+mn-ea"/>
                <a:cs typeface="+mn-cs"/>
              </a:defRPr>
            </a:pPr>
            <a:r>
              <a:rPr lang="en-IN"/>
              <a:t>Popular products</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18615386306512"/>
          <c:y val="0.14199553766423875"/>
          <c:w val="0.7612582205660462"/>
          <c:h val="0.84204505686789155"/>
        </c:manualLayout>
      </c:layout>
      <c:barChart>
        <c:barDir val="bar"/>
        <c:grouping val="stacked"/>
        <c:varyColors val="0"/>
        <c:ser>
          <c:idx val="0"/>
          <c:order val="0"/>
          <c:tx>
            <c:strRef>
              <c:f>Pivots!$B$46:$B$47</c:f>
              <c:strCache>
                <c:ptCount val="1"/>
                <c:pt idx="0">
                  <c:v>Female</c:v>
                </c:pt>
              </c:strCache>
            </c:strRef>
          </c:tx>
          <c:spPr>
            <a:solidFill>
              <a:srgbClr val="FF0000"/>
            </a:solidFill>
            <a:ln>
              <a:noFill/>
            </a:ln>
            <a:effectLst/>
          </c:spPr>
          <c:invertIfNegative val="0"/>
          <c:cat>
            <c:strRef>
              <c:f>Pivots!$A$48:$A$68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Casual Dresses</c:v>
                </c:pt>
                <c:pt idx="11">
                  <c:v>Crop Tops</c:v>
                </c:pt>
                <c:pt idx="12">
                  <c:v>Leggings</c:v>
                </c:pt>
                <c:pt idx="13">
                  <c:v>Workout Tops</c:v>
                </c:pt>
                <c:pt idx="14">
                  <c:v>Pajama Sets</c:v>
                </c:pt>
                <c:pt idx="15">
                  <c:v>Maxi Dresses</c:v>
                </c:pt>
                <c:pt idx="16">
                  <c:v>Sunglasses</c:v>
                </c:pt>
                <c:pt idx="17">
                  <c:v>Baseball Caps</c:v>
                </c:pt>
                <c:pt idx="18">
                  <c:v>Tote Bags</c:v>
                </c:pt>
                <c:pt idx="19">
                  <c:v>Jewelry</c:v>
                </c:pt>
              </c:strCache>
            </c:strRef>
          </c:cat>
          <c:val>
            <c:numRef>
              <c:f>Pivots!$B$48:$B$68</c:f>
              <c:numCache>
                <c:formatCode>General</c:formatCode>
                <c:ptCount val="20"/>
                <c:pt idx="0">
                  <c:v>151</c:v>
                </c:pt>
                <c:pt idx="1">
                  <c:v>138</c:v>
                </c:pt>
                <c:pt idx="2">
                  <c:v>139</c:v>
                </c:pt>
                <c:pt idx="3">
                  <c:v>104</c:v>
                </c:pt>
                <c:pt idx="4">
                  <c:v>85</c:v>
                </c:pt>
                <c:pt idx="5">
                  <c:v>90</c:v>
                </c:pt>
                <c:pt idx="6">
                  <c:v>87</c:v>
                </c:pt>
                <c:pt idx="7">
                  <c:v>68</c:v>
                </c:pt>
                <c:pt idx="8">
                  <c:v>63</c:v>
                </c:pt>
                <c:pt idx="9">
                  <c:v>53</c:v>
                </c:pt>
                <c:pt idx="10">
                  <c:v>52</c:v>
                </c:pt>
                <c:pt idx="11">
                  <c:v>28</c:v>
                </c:pt>
                <c:pt idx="12">
                  <c:v>21</c:v>
                </c:pt>
                <c:pt idx="13">
                  <c:v>31</c:v>
                </c:pt>
                <c:pt idx="14">
                  <c:v>29</c:v>
                </c:pt>
                <c:pt idx="15">
                  <c:v>32</c:v>
                </c:pt>
                <c:pt idx="16">
                  <c:v>24</c:v>
                </c:pt>
                <c:pt idx="17">
                  <c:v>14</c:v>
                </c:pt>
                <c:pt idx="18">
                  <c:v>14</c:v>
                </c:pt>
                <c:pt idx="19">
                  <c:v>8</c:v>
                </c:pt>
              </c:numCache>
            </c:numRef>
          </c:val>
          <c:extLst>
            <c:ext xmlns:c16="http://schemas.microsoft.com/office/drawing/2014/chart" uri="{C3380CC4-5D6E-409C-BE32-E72D297353CC}">
              <c16:uniqueId val="{00000000-90BA-4616-9EB8-83EC5CA37F6D}"/>
            </c:ext>
          </c:extLst>
        </c:ser>
        <c:ser>
          <c:idx val="1"/>
          <c:order val="1"/>
          <c:tx>
            <c:strRef>
              <c:f>Pivots!$C$46:$C$47</c:f>
              <c:strCache>
                <c:ptCount val="1"/>
                <c:pt idx="0">
                  <c:v>Male</c:v>
                </c:pt>
              </c:strCache>
            </c:strRef>
          </c:tx>
          <c:spPr>
            <a:solidFill>
              <a:schemeClr val="accent6"/>
            </a:solidFill>
            <a:ln>
              <a:noFill/>
            </a:ln>
            <a:effectLst/>
          </c:spPr>
          <c:invertIfNegative val="0"/>
          <c:cat>
            <c:strRef>
              <c:f>Pivots!$A$48:$A$68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Casual Dresses</c:v>
                </c:pt>
                <c:pt idx="11">
                  <c:v>Crop Tops</c:v>
                </c:pt>
                <c:pt idx="12">
                  <c:v>Leggings</c:v>
                </c:pt>
                <c:pt idx="13">
                  <c:v>Workout Tops</c:v>
                </c:pt>
                <c:pt idx="14">
                  <c:v>Pajama Sets</c:v>
                </c:pt>
                <c:pt idx="15">
                  <c:v>Maxi Dresses</c:v>
                </c:pt>
                <c:pt idx="16">
                  <c:v>Sunglasses</c:v>
                </c:pt>
                <c:pt idx="17">
                  <c:v>Baseball Caps</c:v>
                </c:pt>
                <c:pt idx="18">
                  <c:v>Tote Bags</c:v>
                </c:pt>
                <c:pt idx="19">
                  <c:v>Jewelry</c:v>
                </c:pt>
              </c:strCache>
            </c:strRef>
          </c:cat>
          <c:val>
            <c:numRef>
              <c:f>Pivots!$C$48:$C$68</c:f>
              <c:numCache>
                <c:formatCode>General</c:formatCode>
                <c:ptCount val="20"/>
                <c:pt idx="0">
                  <c:v>141</c:v>
                </c:pt>
                <c:pt idx="1">
                  <c:v>114</c:v>
                </c:pt>
                <c:pt idx="2">
                  <c:v>88</c:v>
                </c:pt>
                <c:pt idx="3">
                  <c:v>69</c:v>
                </c:pt>
                <c:pt idx="4">
                  <c:v>67</c:v>
                </c:pt>
                <c:pt idx="5">
                  <c:v>60</c:v>
                </c:pt>
                <c:pt idx="6">
                  <c:v>50</c:v>
                </c:pt>
                <c:pt idx="7">
                  <c:v>51</c:v>
                </c:pt>
                <c:pt idx="8">
                  <c:v>50</c:v>
                </c:pt>
                <c:pt idx="9">
                  <c:v>48</c:v>
                </c:pt>
                <c:pt idx="10">
                  <c:v>27</c:v>
                </c:pt>
                <c:pt idx="11">
                  <c:v>39</c:v>
                </c:pt>
                <c:pt idx="12">
                  <c:v>37</c:v>
                </c:pt>
                <c:pt idx="13">
                  <c:v>24</c:v>
                </c:pt>
                <c:pt idx="14">
                  <c:v>18</c:v>
                </c:pt>
                <c:pt idx="15">
                  <c:v>17</c:v>
                </c:pt>
                <c:pt idx="16">
                  <c:v>17</c:v>
                </c:pt>
                <c:pt idx="17">
                  <c:v>19</c:v>
                </c:pt>
                <c:pt idx="18">
                  <c:v>16</c:v>
                </c:pt>
                <c:pt idx="19">
                  <c:v>7</c:v>
                </c:pt>
              </c:numCache>
            </c:numRef>
          </c:val>
          <c:extLst>
            <c:ext xmlns:c16="http://schemas.microsoft.com/office/drawing/2014/chart" uri="{C3380CC4-5D6E-409C-BE32-E72D297353CC}">
              <c16:uniqueId val="{00000001-90BA-4616-9EB8-83EC5CA37F6D}"/>
            </c:ext>
          </c:extLst>
        </c:ser>
        <c:ser>
          <c:idx val="2"/>
          <c:order val="2"/>
          <c:tx>
            <c:strRef>
              <c:f>Pivots!$D$46:$D$47</c:f>
              <c:strCache>
                <c:ptCount val="1"/>
                <c:pt idx="0">
                  <c:v>Other</c:v>
                </c:pt>
              </c:strCache>
            </c:strRef>
          </c:tx>
          <c:spPr>
            <a:solidFill>
              <a:schemeClr val="accent4"/>
            </a:solidFill>
            <a:ln>
              <a:noFill/>
            </a:ln>
            <a:effectLst/>
          </c:spPr>
          <c:invertIfNegative val="0"/>
          <c:cat>
            <c:strRef>
              <c:f>Pivots!$A$48:$A$68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Casual Dresses</c:v>
                </c:pt>
                <c:pt idx="11">
                  <c:v>Crop Tops</c:v>
                </c:pt>
                <c:pt idx="12">
                  <c:v>Leggings</c:v>
                </c:pt>
                <c:pt idx="13">
                  <c:v>Workout Tops</c:v>
                </c:pt>
                <c:pt idx="14">
                  <c:v>Pajama Sets</c:v>
                </c:pt>
                <c:pt idx="15">
                  <c:v>Maxi Dresses</c:v>
                </c:pt>
                <c:pt idx="16">
                  <c:v>Sunglasses</c:v>
                </c:pt>
                <c:pt idx="17">
                  <c:v>Baseball Caps</c:v>
                </c:pt>
                <c:pt idx="18">
                  <c:v>Tote Bags</c:v>
                </c:pt>
                <c:pt idx="19">
                  <c:v>Jewelry</c:v>
                </c:pt>
              </c:strCache>
            </c:strRef>
          </c:cat>
          <c:val>
            <c:numRef>
              <c:f>Pivots!$D$48:$D$68</c:f>
              <c:numCache>
                <c:formatCode>General</c:formatCode>
                <c:ptCount val="20"/>
                <c:pt idx="0">
                  <c:v>15</c:v>
                </c:pt>
                <c:pt idx="1">
                  <c:v>8</c:v>
                </c:pt>
                <c:pt idx="2">
                  <c:v>6</c:v>
                </c:pt>
                <c:pt idx="3">
                  <c:v>8</c:v>
                </c:pt>
                <c:pt idx="4">
                  <c:v>3</c:v>
                </c:pt>
                <c:pt idx="6">
                  <c:v>5</c:v>
                </c:pt>
                <c:pt idx="7">
                  <c:v>4</c:v>
                </c:pt>
                <c:pt idx="8">
                  <c:v>2</c:v>
                </c:pt>
                <c:pt idx="9">
                  <c:v>4</c:v>
                </c:pt>
                <c:pt idx="10">
                  <c:v>5</c:v>
                </c:pt>
                <c:pt idx="11">
                  <c:v>5</c:v>
                </c:pt>
                <c:pt idx="12">
                  <c:v>2</c:v>
                </c:pt>
                <c:pt idx="13">
                  <c:v>1</c:v>
                </c:pt>
                <c:pt idx="14">
                  <c:v>1</c:v>
                </c:pt>
                <c:pt idx="15">
                  <c:v>1</c:v>
                </c:pt>
                <c:pt idx="16">
                  <c:v>1</c:v>
                </c:pt>
                <c:pt idx="17">
                  <c:v>1</c:v>
                </c:pt>
                <c:pt idx="18">
                  <c:v>1</c:v>
                </c:pt>
                <c:pt idx="19">
                  <c:v>2</c:v>
                </c:pt>
              </c:numCache>
            </c:numRef>
          </c:val>
          <c:extLst>
            <c:ext xmlns:c16="http://schemas.microsoft.com/office/drawing/2014/chart" uri="{C3380CC4-5D6E-409C-BE32-E72D297353CC}">
              <c16:uniqueId val="{00000002-90BA-4616-9EB8-83EC5CA37F6D}"/>
            </c:ext>
          </c:extLst>
        </c:ser>
        <c:ser>
          <c:idx val="3"/>
          <c:order val="3"/>
          <c:tx>
            <c:strRef>
              <c:f>Pivots!$E$46:$E$47</c:f>
              <c:strCache>
                <c:ptCount val="1"/>
                <c:pt idx="0">
                  <c:v>Unknown</c:v>
                </c:pt>
              </c:strCache>
            </c:strRef>
          </c:tx>
          <c:spPr>
            <a:solidFill>
              <a:schemeClr val="tx1"/>
            </a:solidFill>
            <a:ln>
              <a:noFill/>
            </a:ln>
            <a:effectLst/>
          </c:spPr>
          <c:invertIfNegative val="0"/>
          <c:cat>
            <c:strRef>
              <c:f>Pivots!$A$48:$A$68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Casual Dresses</c:v>
                </c:pt>
                <c:pt idx="11">
                  <c:v>Crop Tops</c:v>
                </c:pt>
                <c:pt idx="12">
                  <c:v>Leggings</c:v>
                </c:pt>
                <c:pt idx="13">
                  <c:v>Workout Tops</c:v>
                </c:pt>
                <c:pt idx="14">
                  <c:v>Pajama Sets</c:v>
                </c:pt>
                <c:pt idx="15">
                  <c:v>Maxi Dresses</c:v>
                </c:pt>
                <c:pt idx="16">
                  <c:v>Sunglasses</c:v>
                </c:pt>
                <c:pt idx="17">
                  <c:v>Baseball Caps</c:v>
                </c:pt>
                <c:pt idx="18">
                  <c:v>Tote Bags</c:v>
                </c:pt>
                <c:pt idx="19">
                  <c:v>Jewelry</c:v>
                </c:pt>
              </c:strCache>
            </c:strRef>
          </c:cat>
          <c:val>
            <c:numRef>
              <c:f>Pivots!$E$48:$E$68</c:f>
              <c:numCache>
                <c:formatCode>General</c:formatCode>
                <c:ptCount val="20"/>
                <c:pt idx="0">
                  <c:v>18</c:v>
                </c:pt>
                <c:pt idx="1">
                  <c:v>26</c:v>
                </c:pt>
                <c:pt idx="2">
                  <c:v>14</c:v>
                </c:pt>
                <c:pt idx="3">
                  <c:v>6</c:v>
                </c:pt>
                <c:pt idx="4">
                  <c:v>7</c:v>
                </c:pt>
                <c:pt idx="5">
                  <c:v>5</c:v>
                </c:pt>
                <c:pt idx="6">
                  <c:v>10</c:v>
                </c:pt>
                <c:pt idx="7">
                  <c:v>5</c:v>
                </c:pt>
                <c:pt idx="8">
                  <c:v>3</c:v>
                </c:pt>
                <c:pt idx="9">
                  <c:v>6</c:v>
                </c:pt>
                <c:pt idx="10">
                  <c:v>6</c:v>
                </c:pt>
                <c:pt idx="11">
                  <c:v>4</c:v>
                </c:pt>
                <c:pt idx="12">
                  <c:v>9</c:v>
                </c:pt>
                <c:pt idx="13">
                  <c:v>6</c:v>
                </c:pt>
                <c:pt idx="14">
                  <c:v>4</c:v>
                </c:pt>
                <c:pt idx="16">
                  <c:v>3</c:v>
                </c:pt>
                <c:pt idx="17">
                  <c:v>1</c:v>
                </c:pt>
                <c:pt idx="18">
                  <c:v>2</c:v>
                </c:pt>
              </c:numCache>
            </c:numRef>
          </c:val>
          <c:extLst>
            <c:ext xmlns:c16="http://schemas.microsoft.com/office/drawing/2014/chart" uri="{C3380CC4-5D6E-409C-BE32-E72D297353CC}">
              <c16:uniqueId val="{00000003-90BA-4616-9EB8-83EC5CA37F6D}"/>
            </c:ext>
          </c:extLst>
        </c:ser>
        <c:dLbls>
          <c:showLegendKey val="0"/>
          <c:showVal val="0"/>
          <c:showCatName val="0"/>
          <c:showSerName val="0"/>
          <c:showPercent val="0"/>
          <c:showBubbleSize val="0"/>
        </c:dLbls>
        <c:gapWidth val="150"/>
        <c:overlap val="100"/>
        <c:axId val="560800768"/>
        <c:axId val="560792608"/>
      </c:barChart>
      <c:catAx>
        <c:axId val="5608007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60792608"/>
        <c:crosses val="autoZero"/>
        <c:auto val="1"/>
        <c:lblAlgn val="ctr"/>
        <c:lblOffset val="100"/>
        <c:noMultiLvlLbl val="0"/>
      </c:catAx>
      <c:valAx>
        <c:axId val="560792608"/>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60800768"/>
        <c:crosses val="autoZero"/>
        <c:crossBetween val="between"/>
      </c:valAx>
      <c:spPr>
        <a:noFill/>
        <a:ln>
          <a:noFill/>
        </a:ln>
        <a:effectLst/>
      </c:spPr>
    </c:plotArea>
    <c:legend>
      <c:legendPos val="r"/>
      <c:layout>
        <c:manualLayout>
          <c:xMode val="edge"/>
          <c:yMode val="edge"/>
          <c:x val="0.3415228758767202"/>
          <c:y val="0.77066737090542992"/>
          <c:w val="0.14043429195625798"/>
          <c:h val="0.18579190728262837"/>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[ecommerce-blank.xlsx]Pivots!Avg delivery days</c:name>
    <c:fmtId val="7"/>
  </c:pivotSource>
  <c:chart>
    <c:title>
      <c:tx>
        <c:rich>
          <a:bodyPr rot="0" spcFirstLastPara="1" vertOverflow="ellipsis" vert="horz" wrap="square" anchor="ctr" anchorCtr="1"/>
          <a:lstStyle/>
          <a:p>
            <a:pPr algn="ctr" rtl="0">
              <a:defRPr lang="en-US" sz="1400" b="1" i="1" u="none" strike="noStrike" kern="1200" spc="0" baseline="0">
                <a:solidFill>
                  <a:sysClr val="windowText" lastClr="000000">
                    <a:lumMod val="65000"/>
                    <a:lumOff val="35000"/>
                  </a:sysClr>
                </a:solidFill>
                <a:latin typeface="+mn-lt"/>
                <a:ea typeface="+mn-ea"/>
                <a:cs typeface="+mn-cs"/>
              </a:defRPr>
            </a:pPr>
            <a:r>
              <a:rPr lang="en-US" sz="1400" b="1" i="1" u="none" strike="noStrike" kern="1200" spc="0" baseline="0">
                <a:solidFill>
                  <a:sysClr val="windowText" lastClr="000000">
                    <a:lumMod val="65000"/>
                    <a:lumOff val="35000"/>
                  </a:sysClr>
                </a:solidFill>
                <a:latin typeface="+mn-lt"/>
                <a:ea typeface="+mn-ea"/>
                <a:cs typeface="+mn-cs"/>
              </a:rPr>
              <a:t>Days to Deliver</a:t>
            </a:r>
          </a:p>
        </c:rich>
      </c:tx>
      <c:overlay val="0"/>
      <c:spPr>
        <a:noFill/>
        <a:ln>
          <a:noFill/>
        </a:ln>
        <a:effectLst/>
      </c:spPr>
      <c:txPr>
        <a:bodyPr rot="0" spcFirstLastPara="1" vertOverflow="ellipsis" vert="horz" wrap="square" anchor="ctr" anchorCtr="1"/>
        <a:lstStyle/>
        <a:p>
          <a:pPr algn="ctr" rtl="0">
            <a:defRPr lang="en-US" sz="1400" b="1" i="1"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Pivots!$B$144</c:f>
              <c:strCache>
                <c:ptCount val="1"/>
                <c:pt idx="0">
                  <c:v>Total</c:v>
                </c:pt>
              </c:strCache>
            </c:strRef>
          </c:tx>
          <c:spPr>
            <a:solidFill>
              <a:schemeClr val="accent6"/>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Pivots!$A$145:$A$148</c:f>
              <c:strCache>
                <c:ptCount val="3"/>
                <c:pt idx="0">
                  <c:v>0-4</c:v>
                </c:pt>
                <c:pt idx="1">
                  <c:v>5-9</c:v>
                </c:pt>
                <c:pt idx="2">
                  <c:v>10-14</c:v>
                </c:pt>
              </c:strCache>
            </c:strRef>
          </c:cat>
          <c:val>
            <c:numRef>
              <c:f>Pivots!$B$145:$B$148</c:f>
              <c:numCache>
                <c:formatCode>General</c:formatCode>
                <c:ptCount val="3"/>
                <c:pt idx="0">
                  <c:v>2145</c:v>
                </c:pt>
                <c:pt idx="1">
                  <c:v>209</c:v>
                </c:pt>
                <c:pt idx="2">
                  <c:v>46</c:v>
                </c:pt>
              </c:numCache>
            </c:numRef>
          </c:val>
          <c:extLst>
            <c:ext xmlns:c16="http://schemas.microsoft.com/office/drawing/2014/chart" uri="{C3380CC4-5D6E-409C-BE32-E72D297353CC}">
              <c16:uniqueId val="{00000000-AF9B-41AB-95B1-6426C46AD0E6}"/>
            </c:ext>
          </c:extLst>
        </c:ser>
        <c:dLbls>
          <c:showLegendKey val="0"/>
          <c:showVal val="0"/>
          <c:showCatName val="0"/>
          <c:showSerName val="0"/>
          <c:showPercent val="0"/>
          <c:showBubbleSize val="0"/>
        </c:dLbls>
        <c:gapWidth val="10"/>
        <c:overlap val="-27"/>
        <c:axId val="641906736"/>
        <c:axId val="641918256"/>
      </c:barChart>
      <c:catAx>
        <c:axId val="64190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41918256"/>
        <c:crosses val="autoZero"/>
        <c:auto val="1"/>
        <c:lblAlgn val="ctr"/>
        <c:lblOffset val="100"/>
        <c:noMultiLvlLbl val="0"/>
      </c:catAx>
      <c:valAx>
        <c:axId val="641918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90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[ecommerce-blank.xlsx]Pivots!Gender split</c:name>
    <c:fmtId val="15"/>
  </c:pivotSource>
  <c:chart>
    <c:title>
      <c:tx>
        <c:rich>
          <a:bodyPr rot="0" spcFirstLastPara="1" vertOverflow="ellipsis" vert="horz" wrap="square" anchor="ctr" anchorCtr="1"/>
          <a:lstStyle/>
          <a:p>
            <a:pPr algn="ctr" rtl="0">
              <a:defRPr lang="en-US" sz="1400" b="1" i="1" u="none" strike="noStrike" kern="1200" spc="0" baseline="0">
                <a:solidFill>
                  <a:sysClr val="windowText" lastClr="000000">
                    <a:lumMod val="65000"/>
                    <a:lumOff val="35000"/>
                  </a:sysClr>
                </a:solidFill>
                <a:latin typeface="+mn-lt"/>
                <a:ea typeface="+mn-ea"/>
                <a:cs typeface="+mn-cs"/>
              </a:defRPr>
            </a:pPr>
            <a:r>
              <a:rPr lang="en-US" sz="1400" b="1" i="1" u="none" strike="noStrike" kern="1200" spc="0" baseline="0">
                <a:solidFill>
                  <a:sysClr val="windowText" lastClr="000000">
                    <a:lumMod val="65000"/>
                    <a:lumOff val="35000"/>
                  </a:sysClr>
                </a:solidFill>
                <a:latin typeface="+mn-lt"/>
                <a:ea typeface="+mn-ea"/>
                <a:cs typeface="+mn-cs"/>
              </a:rPr>
              <a:t>Gender split</a:t>
            </a:r>
          </a:p>
        </c:rich>
      </c:tx>
      <c:overlay val="0"/>
      <c:spPr>
        <a:noFill/>
        <a:ln>
          <a:noFill/>
        </a:ln>
        <a:effectLst/>
      </c:spPr>
      <c:txPr>
        <a:bodyPr rot="0" spcFirstLastPara="1" vertOverflow="ellipsis" vert="horz" wrap="square" anchor="ctr" anchorCtr="1"/>
        <a:lstStyle/>
        <a:p>
          <a:pPr algn="ctr" rtl="0">
            <a:defRPr lang="en-US" sz="1400" b="1" i="1"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accent1">
                <a:lumMod val="60000"/>
                <a:lumOff val="40000"/>
              </a:schemeClr>
            </a:solidFill>
            <a:ln>
              <a:noFill/>
            </a:ln>
            <a:effectLst/>
          </c:spPr>
          <c:txPr>
            <a:bodyPr rot="0" spcFirstLastPara="1" vertOverflow="overflow" horzOverflow="overflow" vert="horz" wrap="square" lIns="38100" tIns="19050" rIns="38100" bIns="19050" anchor="ctr" anchorCtr="1">
              <a:spAutoFit/>
            </a:bodyPr>
            <a:lstStyle/>
            <a:p>
              <a:pPr>
                <a:defRPr sz="5400" b="1" i="1"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rgbClr val="FF0000"/>
          </a:solidFill>
          <a:ln w="19050">
            <a:solidFill>
              <a:schemeClr val="lt1"/>
            </a:solidFill>
          </a:ln>
          <a:effectLst/>
        </c:spPr>
        <c:dLbl>
          <c:idx val="0"/>
          <c:layout>
            <c:manualLayout>
              <c:x val="7.8401734528471836E-2"/>
              <c:y val="-7.5085306071652072E-3"/>
            </c:manualLayout>
          </c:layout>
          <c:spPr>
            <a:solidFill>
              <a:schemeClr val="accent1">
                <a:lumMod val="60000"/>
                <a:lumOff val="40000"/>
              </a:schemeClr>
            </a:solidFill>
            <a:ln>
              <a:noFill/>
            </a:ln>
            <a:effectLst/>
          </c:spPr>
          <c:txPr>
            <a:bodyPr rot="0" spcFirstLastPara="1" vertOverflow="overflow" horzOverflow="overflow" vert="horz" wrap="square" lIns="38100" tIns="19050" rIns="38100" bIns="19050" anchor="ctr" anchorCtr="1">
              <a:spAutoFit/>
            </a:bodyPr>
            <a:lstStyle/>
            <a:p>
              <a:pPr>
                <a:defRPr sz="5400" b="1" i="1"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rgbClr val="00B0F0"/>
          </a:solidFill>
          <a:ln w="19050">
            <a:solidFill>
              <a:schemeClr val="lt1"/>
            </a:solidFill>
          </a:ln>
          <a:effectLst/>
        </c:spPr>
        <c:dLbl>
          <c:idx val="0"/>
          <c:layout>
            <c:manualLayout>
              <c:x val="-0.10453564603796248"/>
              <c:y val="-1.5017061214330414E-2"/>
            </c:manualLayout>
          </c:layout>
          <c:spPr>
            <a:solidFill>
              <a:schemeClr val="accent1">
                <a:lumMod val="60000"/>
                <a:lumOff val="40000"/>
              </a:schemeClr>
            </a:solidFill>
            <a:ln>
              <a:noFill/>
            </a:ln>
            <a:effectLst/>
          </c:spPr>
          <c:txPr>
            <a:bodyPr rot="0" spcFirstLastPara="1" vertOverflow="overflow" horzOverflow="overflow" vert="horz" wrap="square" lIns="38100" tIns="19050" rIns="38100" bIns="19050" anchor="ctr" anchorCtr="1">
              <a:spAutoFit/>
            </a:bodyPr>
            <a:lstStyle/>
            <a:p>
              <a:pPr>
                <a:defRPr sz="5400" b="1" i="1"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tx1"/>
          </a:solidFill>
          <a:ln w="19050">
            <a:solidFill>
              <a:schemeClr val="lt1"/>
            </a:solidFill>
          </a:ln>
          <a:effectLst/>
        </c:spPr>
        <c:dLbl>
          <c:idx val="0"/>
          <c:layout>
            <c:manualLayout>
              <c:x val="-4.2764582470075592E-2"/>
              <c:y val="-9.7610897893147697E-2"/>
            </c:manualLayout>
          </c:layout>
          <c:spPr>
            <a:solidFill>
              <a:schemeClr val="accent1">
                <a:lumMod val="60000"/>
                <a:lumOff val="40000"/>
              </a:schemeClr>
            </a:solidFill>
            <a:ln>
              <a:noFill/>
            </a:ln>
            <a:effectLst/>
          </c:spPr>
          <c:txPr>
            <a:bodyPr rot="0" spcFirstLastPara="1" vertOverflow="overflow" horzOverflow="overflow" vert="horz" wrap="square" lIns="38100" tIns="19050" rIns="38100" bIns="19050" anchor="ctr" anchorCtr="1">
              <a:spAutoFit/>
            </a:bodyPr>
            <a:lstStyle/>
            <a:p>
              <a:pPr>
                <a:defRPr sz="5400" b="1" i="1"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1"/>
          </a:solidFill>
          <a:ln w="19050">
            <a:solidFill>
              <a:schemeClr val="lt1"/>
            </a:solidFill>
          </a:ln>
          <a:effectLst/>
        </c:spPr>
        <c:dLbl>
          <c:idx val="0"/>
          <c:layout>
            <c:manualLayout>
              <c:x val="-8.7112032039341029E-17"/>
              <c:y val="-0.10887369380389551"/>
            </c:manualLayout>
          </c:layout>
          <c:spPr>
            <a:solidFill>
              <a:schemeClr val="accent1">
                <a:lumMod val="60000"/>
                <a:lumOff val="40000"/>
              </a:schemeClr>
            </a:solidFill>
            <a:ln>
              <a:noFill/>
            </a:ln>
            <a:effectLst/>
          </c:spPr>
          <c:txPr>
            <a:bodyPr rot="0" spcFirstLastPara="1" vertOverflow="overflow" horzOverflow="overflow" vert="horz" wrap="square" lIns="38100" tIns="19050" rIns="38100" bIns="19050" anchor="ctr" anchorCtr="1">
              <a:spAutoFit/>
            </a:bodyPr>
            <a:lstStyle/>
            <a:p>
              <a:pPr>
                <a:defRPr sz="5400" b="1" i="1"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doughnutChart>
        <c:varyColors val="1"/>
        <c:ser>
          <c:idx val="0"/>
          <c:order val="0"/>
          <c:tx>
            <c:strRef>
              <c:f>Pivots!$B$71</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BBF1-467E-BEB0-54439633F80E}"/>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BBF1-467E-BEB0-54439633F80E}"/>
              </c:ext>
            </c:extLst>
          </c:dPt>
          <c:dPt>
            <c:idx val="2"/>
            <c:bubble3D val="0"/>
            <c:spPr>
              <a:solidFill>
                <a:schemeClr val="tx1"/>
              </a:solidFill>
              <a:ln w="19050">
                <a:solidFill>
                  <a:schemeClr val="lt1"/>
                </a:solidFill>
              </a:ln>
              <a:effectLst/>
            </c:spPr>
            <c:extLst>
              <c:ext xmlns:c16="http://schemas.microsoft.com/office/drawing/2014/chart" uri="{C3380CC4-5D6E-409C-BE32-E72D297353CC}">
                <c16:uniqueId val="{00000005-BBF1-467E-BEB0-54439633F8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BF1-467E-BEB0-54439633F80E}"/>
              </c:ext>
            </c:extLst>
          </c:dPt>
          <c:dLbls>
            <c:dLbl>
              <c:idx val="0"/>
              <c:layout>
                <c:manualLayout>
                  <c:x val="7.8401734528471836E-2"/>
                  <c:y val="-7.5085306071652072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BF1-467E-BEB0-54439633F80E}"/>
                </c:ext>
              </c:extLst>
            </c:dLbl>
            <c:dLbl>
              <c:idx val="1"/>
              <c:layout>
                <c:manualLayout>
                  <c:x val="-0.10453564603796248"/>
                  <c:y val="-1.501706121433041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BF1-467E-BEB0-54439633F80E}"/>
                </c:ext>
              </c:extLst>
            </c:dLbl>
            <c:dLbl>
              <c:idx val="2"/>
              <c:layout>
                <c:manualLayout>
                  <c:x val="-4.2764582470075592E-2"/>
                  <c:y val="-9.761089789314769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BF1-467E-BEB0-54439633F80E}"/>
                </c:ext>
              </c:extLst>
            </c:dLbl>
            <c:dLbl>
              <c:idx val="3"/>
              <c:layout>
                <c:manualLayout>
                  <c:x val="-8.7112032039341029E-17"/>
                  <c:y val="-0.1088736938038955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BF1-467E-BEB0-54439633F80E}"/>
                </c:ext>
              </c:extLst>
            </c:dLbl>
            <c:spPr>
              <a:solidFill>
                <a:schemeClr val="accent1">
                  <a:lumMod val="60000"/>
                  <a:lumOff val="40000"/>
                </a:schemeClr>
              </a:solidFill>
              <a:ln>
                <a:noFill/>
              </a:ln>
              <a:effectLst/>
            </c:spPr>
            <c:txPr>
              <a:bodyPr rot="0" spcFirstLastPara="1" vertOverflow="overflow" horzOverflow="overflow" vert="horz" wrap="square" lIns="38100" tIns="19050" rIns="38100" bIns="19050" anchor="ctr" anchorCtr="1">
                <a:spAutoFit/>
              </a:bodyPr>
              <a:lstStyle/>
              <a:p>
                <a:pPr>
                  <a:defRPr sz="5400" b="1" i="1"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Pivots!$A$72:$A$76</c:f>
              <c:strCache>
                <c:ptCount val="4"/>
                <c:pt idx="0">
                  <c:v>Female</c:v>
                </c:pt>
                <c:pt idx="1">
                  <c:v>Male</c:v>
                </c:pt>
                <c:pt idx="2">
                  <c:v>Other</c:v>
                </c:pt>
                <c:pt idx="3">
                  <c:v>Unknown</c:v>
                </c:pt>
              </c:strCache>
            </c:strRef>
          </c:cat>
          <c:val>
            <c:numRef>
              <c:f>Pivots!$B$72:$B$76</c:f>
              <c:numCache>
                <c:formatCode>General</c:formatCode>
                <c:ptCount val="4"/>
                <c:pt idx="0">
                  <c:v>1231</c:v>
                </c:pt>
                <c:pt idx="1">
                  <c:v>959</c:v>
                </c:pt>
                <c:pt idx="2">
                  <c:v>75</c:v>
                </c:pt>
                <c:pt idx="3">
                  <c:v>135</c:v>
                </c:pt>
              </c:numCache>
            </c:numRef>
          </c:val>
          <c:extLst>
            <c:ext xmlns:c16="http://schemas.microsoft.com/office/drawing/2014/chart" uri="{C3380CC4-5D6E-409C-BE32-E72D297353CC}">
              <c16:uniqueId val="{00000008-BBF1-467E-BEB0-54439633F80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[ecommerce-blank.xlsx]Pivots!Customer rating</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Customer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Pivots!$B$152</c:f>
              <c:strCache>
                <c:ptCount val="1"/>
                <c:pt idx="0">
                  <c:v>Total</c:v>
                </c:pt>
              </c:strCache>
            </c:strRef>
          </c:tx>
          <c:spPr>
            <a:solidFill>
              <a:schemeClr val="accent6"/>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Pivots!$A$153:$A$158</c:f>
              <c:strCache>
                <c:ptCount val="5"/>
                <c:pt idx="0">
                  <c:v>1</c:v>
                </c:pt>
                <c:pt idx="1">
                  <c:v>2</c:v>
                </c:pt>
                <c:pt idx="2">
                  <c:v>3</c:v>
                </c:pt>
                <c:pt idx="3">
                  <c:v>4</c:v>
                </c:pt>
                <c:pt idx="4">
                  <c:v>5</c:v>
                </c:pt>
              </c:strCache>
            </c:strRef>
          </c:cat>
          <c:val>
            <c:numRef>
              <c:f>Pivots!$B$153:$B$158</c:f>
              <c:numCache>
                <c:formatCode>General</c:formatCode>
                <c:ptCount val="5"/>
                <c:pt idx="0">
                  <c:v>21</c:v>
                </c:pt>
                <c:pt idx="1">
                  <c:v>127</c:v>
                </c:pt>
                <c:pt idx="2">
                  <c:v>495</c:v>
                </c:pt>
                <c:pt idx="3">
                  <c:v>1036</c:v>
                </c:pt>
                <c:pt idx="4">
                  <c:v>721</c:v>
                </c:pt>
              </c:numCache>
            </c:numRef>
          </c:val>
          <c:extLst>
            <c:ext xmlns:c16="http://schemas.microsoft.com/office/drawing/2014/chart" uri="{C3380CC4-5D6E-409C-BE32-E72D297353CC}">
              <c16:uniqueId val="{00000000-B67D-4160-965E-66008F676E5A}"/>
            </c:ext>
          </c:extLst>
        </c:ser>
        <c:dLbls>
          <c:dLblPos val="outEnd"/>
          <c:showLegendKey val="0"/>
          <c:showVal val="1"/>
          <c:showCatName val="0"/>
          <c:showSerName val="0"/>
          <c:showPercent val="0"/>
          <c:showBubbleSize val="0"/>
        </c:dLbls>
        <c:gapWidth val="30"/>
        <c:axId val="641911056"/>
        <c:axId val="641923056"/>
      </c:barChart>
      <c:catAx>
        <c:axId val="64191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641923056"/>
        <c:crosses val="autoZero"/>
        <c:auto val="1"/>
        <c:lblAlgn val="ctr"/>
        <c:lblOffset val="100"/>
        <c:noMultiLvlLbl val="0"/>
      </c:catAx>
      <c:valAx>
        <c:axId val="641923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91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US" sz="1400" b="1" i="1" u="none" strike="noStrike" kern="1200" spc="0" baseline="0">
                <a:solidFill>
                  <a:sysClr val="windowText" lastClr="000000">
                    <a:lumMod val="65000"/>
                    <a:lumOff val="35000"/>
                  </a:sysClr>
                </a:solidFill>
                <a:latin typeface="+mn-lt"/>
                <a:ea typeface="+mn-ea"/>
                <a:cs typeface="+mn-cs"/>
              </a:rPr>
              <a:t>TX</a:t>
            </a:r>
            <a:r>
              <a:rPr lang="en-US" sz="1400" b="0" i="0" u="none" strike="noStrike" baseline="0">
                <a:solidFill>
                  <a:sysClr val="windowText" lastClr="000000">
                    <a:lumMod val="65000"/>
                    <a:lumOff val="35000"/>
                  </a:sysClr>
                </a:solidFill>
                <a:latin typeface="Aptos Narrow" panose="02110004020202020204"/>
              </a:rPr>
              <a:t> </a:t>
            </a:r>
            <a:r>
              <a:rPr lang="en-US" sz="1400" b="1" i="1" u="none" strike="noStrike" kern="1200" spc="0" baseline="0">
                <a:solidFill>
                  <a:sysClr val="windowText" lastClr="000000">
                    <a:lumMod val="65000"/>
                    <a:lumOff val="35000"/>
                  </a:sysClr>
                </a:solidFill>
                <a:latin typeface="+mn-lt"/>
                <a:ea typeface="+mn-ea"/>
                <a:cs typeface="+mn-cs"/>
              </a:rPr>
              <a:t>by</a:t>
            </a:r>
            <a:r>
              <a:rPr lang="en-US" sz="1400" b="0" i="0" u="none" strike="noStrike" baseline="0">
                <a:solidFill>
                  <a:sysClr val="windowText" lastClr="000000">
                    <a:lumMod val="65000"/>
                    <a:lumOff val="35000"/>
                  </a:sysClr>
                </a:solidFill>
                <a:latin typeface="Aptos Narrow" panose="02110004020202020204"/>
              </a:rPr>
              <a:t> </a:t>
            </a:r>
            <a:r>
              <a:rPr lang="en-US" sz="1400" b="1" i="1" u="none" strike="noStrike" kern="1200" spc="0" baseline="0">
                <a:solidFill>
                  <a:sysClr val="windowText" lastClr="000000">
                    <a:lumMod val="65000"/>
                    <a:lumOff val="35000"/>
                  </a:sysClr>
                </a:solidFill>
                <a:latin typeface="+mn-lt"/>
                <a:ea typeface="+mn-ea"/>
                <a:cs typeface="+mn-cs"/>
              </a:rPr>
              <a:t>county</a:t>
            </a:r>
          </a:p>
        </cx:rich>
      </cx:tx>
    </cx:title>
    <cx:plotArea>
      <cx:plotAreaRegion>
        <cx:plotSurface>
          <cx:spPr>
            <a:ln>
              <a:noFill/>
            </a:ln>
          </cx:spPr>
        </cx:plotSurface>
        <cx:series layoutId="regionMap" uniqueId="{6DE44644-3534-4D42-BF4A-8E076F590C0A}">
          <cx:tx>
            <cx:txData>
              <cx:f>_xlchart.v5.2</cx:f>
              <cx:v>Count of TX ID</cx:v>
            </cx:txData>
          </cx:tx>
          <cx:dataId val="0"/>
          <cx:layoutPr>
            <cx:geography cultureLanguage="en-US" cultureRegion="IN" attribution="Powered by Bing">
              <cx:geoCache provider="{E9337A44-BEBE-4D9F-B70C-5C5E7DAFC167}">
                <cx:binary>3F3pc9s4sv9XUvn8qMFBEsDWzlYNSEm+Y8c5JvOFpfggwZsE77/+NW0na9Fylq4a1XsrZae2Eqqh
Jn7oRl9o/POm+8dNfLcp33VJnOp/3HS/vw+qKv/Hb7/pm+Au2ehFom7KTGf31eImS37L7u/Vzd1v
t+WmVan/G0HY/O0m2JTVXff+X/+E0fy77Cy72VQqS6/qu7L/eKfruNK/eLbz0bvNbaJSV+mqVDcV
/v29s4nVfVamavN++xn5/b17F7+7yICHd05Wp1X//t1dWqmq/9Tnd7+/3xqJvH/32/QHXzD3Lgb+
q/oWiE28YJbJGMFcPHzY+3dxlvpPjw1MzAVBJmU2gaEff/ZikwDlm5h6YGlze1veaQ2v9/D/u4bY
eheYlD/mTMbNOCkjEj6A8vv7z6mq7m7fXVeb6k6/f6d09jBrZe9k4xt/vn6Yot+2sfzXPyf/AJM2
+ZdncE9n+D892kb0P6B9vbkpYYbTKvv74aZ8YTFbUJOjV+DGC1OMf6iJxg/eBv1tvO1GfccYM2Df
QXVguP8RA+q3mz2AzhYcmZxwm74COlkQRkyQ8W2038DRbqinA8zAeUpyYCB/KhWop/7vB9lEC0YJ
s5hlvwqyMJGFqT2R6TewtBvl6QAzUJ6SHBjKH1VzV2p1u4cNm9KF4Mii1H7Qzw8aemvDxmxBGUME
M7EtzW9iajfSL4eYgfVLogND+zKuwZD8+0WaioWgNrMIxa+INFoIkwtLUGsb6vkc7cZ5Qj8D5AnF
gSHsZGBgjjuzrvaxP/MFGs1vStkjznxqg5MFBpPNYhiePLfB38rXbrR3jjID8510B4b8pzoD6U73
ocgZKHIiTNMUj5octuUtRU7QgnKCMSd0G/W38LQb8RcjzED7Bc2BIf1HnKu94MwX4HBZNrbM3dKN
xYLBx7KYuY3zfI52ozyhn4HxhOLQEE42t1m5h32aLyg4T4hwAHAqwhBaIYKiRxmfWN5/zGboFYC3
6ecAvE1xYAB/y+L9xExsxiAmgsDK2oYXgmfMZBhPXaq5jOyGdYt6Bqhb3z8wSK836buTbFPUKt2D
4MIWDA6zSUzyuAXDRjsFmAgCO7SwHr4wkd83Mrcb7V2DzAB9F9mBYS/rah8hb3CrLEwgvvnahkzw
wrJMG2MywXs2Q7uR3iafgfE2wYGhOy5gV935+9DYZMEwCLYgU08KgiPYphxzaj0aY9sW15t42g3y
yyFmAP2S6MDA/lBuUn8fThRdMIFNzu3XjGuIfVtgftnTTMZ8jnbjPKGfAfKE4sAQdsBP1vsIjgjI
PwoCUevHLRhBjmJ7jyYLhDi1hTkJgs3naDfCE/oZCE8oDgzhUUmdQ051HwqbLUwOWWjwk1+JdEKG
inAMRvhkS34TU7txfjnEDKhfEh0g2vKuTDflrUr3Abm5wCC2sBPT3bY3bNUQHUNimsYYZ/5tjL0O
+45xZmK/g/LAFgAUpGwgi7WXxAZfYGETTCBP9fB5odPRwoYKBTDS7W0D7U1M7cb95RAzIH9JdGBo
j1K1AiPtRumb7Mec/w31RZQtGEeIcf5UXwRJyen2Dd43tjidpCu3OJrj+++Ge/cwMyDfTXhgsC/j
d25WQlh0zgS/rbIMSo0YETZkLx+3dPECeahYEKPxbj2msic7+5tY2439yyFm4P6S6MAwX0ER3l52
dBsqULBtWfgpXT0FfEx0cAv+4ImlPp+j3ThP6GeAPKE4MITX8V26j3ApBM4IVBAJArvyVIljwTGj
1qSCbDYnu4HdJp+B6zbBgcF6VCffs/i2+vt19Vg8xm1smi+RBTPdxhRB9eCugNlbWNoN8YsRZqD8
gubAgD7bRPuIlYkFFHJjhiAdudvqJguBLWxzNrG65/KzG+Et6hnobn3/wJA9TvK7Um3iv1+EKcS8
Id5tAcKP6E5zWdhaWLA5Wxgy1eNnYm69hbPdOL8YYQbWL2gODe+034dpbUNBN4G9GLLSP7Ty1n6M
Rwdb2DZ4XT98ucdDG8cz+XkF4efUc9B9/v0DQ/YUYmN7kGILincfUpNP5b0gpdvIghKHWkEMpd7b
yM7lZzeyW9QzkN36/qEhCwe/9lHNay8ANDhmYT7FuHe4RzY8g6zzFNq5DL2C7Rb5HHC3CA4M3S9Q
P1s/1PLCobH+hwz9HZEuOCjHIaKNXqviBfcXKsEwstFEKb+Bpd0ITweYgfGU5MBQvs7izV5iHHxB
LAhZMfZkQ0/1M4FspCm4haaR6/kc7cZ4Qj8D4gnFgSF8ttH6bg87MLjCJpTqcvFUEoamdjSUZdvw
2OT2RE3P52g3whP6GQhPKA4N4Uy/+wOqRuK7fezG5gJZhFD+Yzd+USkEkm5SqOsFh3mHu3T2NuZe
QXzHIHNg30F2YNifb24h9bgH+9peQOIRwpTsqZrkhf5GC2TDWRsTg3n2/KjNfI52Yz2hnwHzhOLA
EIb02niWqqyH/aDMTGwi/HQWdirc4y5NOOQlxSTS9TaudiO9Y4wZaO+gOjDEzzdw9nkPYEMRNzOh
2hM9JRp3gG1BnYnNxMTuns3Qbpy3yWdAvE1wgOjm2V4qAB+Kw0Bj8yeTbKqzwbEStsk4gdD2w2eq
uUs1l7PXkd4aYSbYWzQHhvf1WJy/j8NUAs66EgLFQU9Z5BfijBf26IOZL3T3bI52ozx5oxkYTygO
DOHzu/Q2u9lP8R+APIauGXtKVkxFmlCo+mU2pWLiZL2Jqd04vxxiBtQviQ4O7fIGuiY5f3eDKSgA
o8gWNrefEsgv5Bkcbo4F+Fk7Ow6d383l6zW0t+hnQb1FcWg4ZyDUfz/M0EcMzrFDK4ofJveLEhG0
gIN2cOQKT06zn89l6BV8t8jnwLtFcHDo7i3qaUGFyI8aTlDK06wUlOdzAQbYxPbK5vHzGrbPqGdB
++z7h4cs2Ft3e+gcRe2FzeCEM0VP1dgvIp5gcVm2adNpf7BzaIsyl6dXEd4eYR7K2zQHhvTFJt9H
5AvimQKyj2BXP8QzX8a14YgNhLURuFnbMjyXn90Ib1HPQHfr+weG7FOMJ97sJbQJhhaEq6G46zVD
Cy+gHgSb1vSg3BvZ2o3zrkFmwL2L7MBQv7hrNntp6wj5ZJswyDg/xbJ36G2E4VjkC095Pke7sZ7Q
z4B5QnFgCF/Gm5u9xEL4Amyq8YjEU4uoXQizseKPPAa+JtbXfL524zyhn4HzhOLAcAZlBUcPoX/n
nmr6LIhrQXLqJ5ZbNjZ0pTARQVCl/TJn8QaudiO9481moL2D6gARP6uVfvfhu9L5PmC3wOoiNqhp
yEY95Zm3YYdyA6gFhGYkE+EeJ/+NrL2O/a6BZi6AXaSHtwogVyk35ff9WG7mAo5Ajgmq1w9O2YJT
E3r3PuqGbQMdVsLb2Ht1HewYZt4q2EF4aGsg2Oyl+SfUG0HjP+hJQ187C02gDSQclQctMYF9Nkev
4L1NPwfobYpDQ1jdlXtxzODYnI2glSd/DHC/9LzRAh6CAoCywact4HnlyfVsvl7BeZt+Ds7bFAeH
s45Un9V7CYLDCVgIoPxotA9b9vZmThY2tAK1oMRoIstqPk+voTwZYRbOE5r/AqR/zeLWS4/3bPzx
Y553VHi/8aoUyGRB/sK2YZd+ENPxBNUWulCHYGNGGIbisYfPj99+PHsDPSR+3vDyKN+7eNqN7nPa
rXd8fMVfT8p/3w0okDVI9hMDNamwIQz6WqT7oXGcbUL93zZ217M52o3fhH4HhFv/BHf+TCgODeFq
kyodb+p9lPYyKNBGcBbdfu2cK4aOYWNxL5sUhMGVQW/g6hWkX46xBe3uS412/PKBIf7pLtjsQ6bB
foYTrTYUc7/iPEGtJ/QRgqgJfiwfA6393Lqaz9duvCf0M7CeUBwazjWkN/Zxeh2Oz1E0Yvj67kvE
mOCwJrbVp9kcvYLwNv0chLcpDgzhb/X3fezNY0kYhuPpUETw8HnREwy68kJnAg6+8rYEz+VnN7pb
1DOw3fr+/wWyr99K9/OeP3dTbZYPNwQ+u5ju108fJgfuNpyQPqnKHYbqzyTx8e3v7yGlTKH+Gj2z
qMeBthTt4w0xP6DbprqD2Mrv7+GyQTh9Md6DAqduIBoGx9ffv2vvnh6NBUaMMwGF+5QgCmo8hSsR
A7jCEArI4BGGBpIWKHo2lgzqrB4fja2ewdqzBOwOYNNRZv28xPEyi3s/S3/OytPf36V1cpmptNJA
zeCF8sfvjfxa0DEauvkTaJAhoOEsBOTG5zebj+N5WZiE/zEDP02p1+MPVtxW0ZFqGiILXkTnoRc7
5qCveDB89bQnSVHF69YXXw0VaJkEnrQyfy28OJcq6j6XVR4saVZe2U22hpz8ae35jp10x7TT7lAf
WaHxLfP9E89fBdz/gEPhn2dKc8e2euEyPHQy0nYr7X64jU0Ryr62Iml6/BszvXjJqVGtzLb6NmTJ
UUuo71KruVRtRZdFaih4jk6HpuslofTchMCErFn8JTXqXiYlulO5vm8HcsuNXLlZHQVOSbrrhHet
E3Xmt7Y3vpaDactuKNwQohpOM4iL1O77U8OMPtq4b2SXJoPsvNCF68rgi56+t7zahC/qm7LBLiYZ
cUOilPQ8k7hJUBZyyOgNiv60+stA24PUyFFWWx7ZoQhcj1Wl29K2Nx0rQl0i04DSys1p3x6XmlZi
g5XpNUvVlclRkDaBI7o0OkKqL5ZxaNSyMrt8ibyylbC/dEtNeLxCfR8dU9KU2LFV2cjeb6uroC8w
vFhcXjUZDdd13hQyZzFMlfZ8qUsTyaAIfZmkEZFJYf+ZDSWRbR21S7M0ucwyHS2rOrBkJ7Jk6QnP
Wtus7a9gbZoyrEPkhm3jBJmdnYh4SKQXmercs1DotqLWJ4HfsHVX+r1MTWi46xZEBdIIqLfGUX1P
RMbXRVDUThF5/hG2je9NBfBBYUexbJqYSlykoVTayI5MZN8JI7NkXbTtMs1hqZbCPI5RrZ3MCuNL
Tv1oiXVqy8jo1VLg1FybMfWXUaOtNQ+Ku6TDYm31cSCL0ogv2ZD5JzBzgwy9Nt3wjAWS9AodeciE
uUEGkilpIklxFZUuZiyC5WSk3/M+9WWmFZHa0oGsuFGetixrT/22LtciCJTM4WD1Oq/seAngmdLT
1r0ymSnNPrjHhknXGvVGINGQ0HUo8kCWnJvfUaIiGXhJINtEMeknpS2L3GyWnt9iA7hMbTdM6/g7
yJx/UoYEHbVDlFbLIOQDWnaUdyvRWGV4HydZf8QhCXOV4aJwCWf6tPIGVJ7SXDkl6j7FBvbdGMWW
TKmIVllcfOkN4Tto8CqZiTZb6qBzrEZ/M/ziK8QNBulx0S6DZOiWTZJlMkQskawPv+A0uwwLrf7q
xcAkCfzgrK85l2ZeyXyor0A7cWnZsYILmFhxLGr7Loibv2rkrVqfB04njPs2rLRjpeobNcKT2Iz/
7OyWrak2bCdOylGJiHOYiuM6EvcZyKlRw7qoEv4JceuywMFJDg3UZVpmFwyZN8QWX5vY6FxcdpfV
UPJjXpZH2aCv9SA+F4HtLVGVBE5Rl8sm7JVUnurXlAyhE6adKXmSnra+dkoefPRRaUnme7msY1qc
WmjYdGFYyDYlRyoLTiLmfeC0PTc6Wrg9FRwkRZUyhcUmexWn0kyF+h7yNP3LjqrwyKeNksysqewK
YZ5AfMaSpp1paVrJd6Et0FmoTpc2LS6z1ri2tW7XYRSpEz+tQZQzP19GfcuBJaNyeqOyV3kHOsnL
Wv8qgbyc1CAuV/UoPAPyPLccf7TKrWAZekqskc7Vx9gvc5cT3UjQMPVah7YvDasT69zE/XIIAw6i
7cegYVi/7uo+XHpaUVexxFyKIbSlXVr3uvcHNzKH474KP6C0OE1oeGbVXbKkLSJr2tJ4SVHurSJT
q1UAB57Wsedh10RZdkTsznLD3JIqiAfHU4qsCe1A1YfAbZCA1JK2zWScUl/aQRzLPgcthQoPr9sU
3tQqG+soaDpf1iG210YYBTJMulYWfuU7aRKbEtRULZ/fnbu1hd5keV8qP3i6CvnnX//1KUvgfw+X
6f77H8eblP/9t/VdNobI9PRLo6nz81v/vpB3NC1+3s47MVger2N+xZr55cPXTZ3nNosF2flfWTnP
A3WPbuaD5fBA9cPKwdBTbTx4jOBOZQv6IcKAP60cSAWO5TwQwOAQaBy7Xf+wcuDIIh5LcNEYXYTr
msE2+mHlkAXcBwnmD+QQII0E3WHeYuVg+I1tI0eAqwxdwGyoCKVwNwo0a3xu5FQDzfKirruLtKVi
2bRekEvYC1nkRKxtrmzD6k/CrkmjJUJR9a3KzOYzLNmukFqkxddns7fD5hp7n0y5gSbQ0DgFjgfA
HbbjTTvPuTHTPo9EUDcXpEjxhR8NqQfWSmaDGmyqTMimNetvrMkNJcuEV4VThGXkS2/QzHSguia9
FVWFPsAYQe2SOMafB8vgeN3blneHewN3q19zTCBU+IJjKKiFDgJwuQw0zpsaiYoFgG1fXdDO8n3X
BmvicwM9I+iqYj3sx03f4RB0g8flwGxQpn2E6Dppyh67ZZNVt0GnNXaUkVuuhnvIG9DbAWokK63I
X/pZGFxGtThJtAi0C86U+KKD4jSKW6tbgiqzz1UZNMn612/1EgaoM0LQYQwuCYYbNB5e+pnly3rD
b4081hdp5Ykvmc8xkWZEYGnkad1dtl0prnMPx3/++mfHtfbc4IZTIWDYMwqtoOF4J6EjW89+1kKd
b+baTy9SPuALHAX1RapLR3Ev+PLrXwLxefFL4FtASy1ohAiOxmSd5anZD0UZZBc8R+amaLMyXnsV
74mMwFZHRQ1ql6KeZ05IrTb5T4tm6lnAW5KxpZcJLa+h3+L056E6W4FzkagLVkTWJglraxPFIw/W
kOilXYL90COAft3GRQtOR5SxuyoW+rgVvXnW2bREDm3DLHJCliafaZkT6ga87+9yo8ldZAwJcyyR
meWRRe3hSdE/3pF++YjIc9do7OA6mT7wzUFtQIUCXCQNfcm2gUJ2baWW5RnnuPaSjSor7UtsRFVq
StqD/XfSBir67nORn4HbEKzszOyUQ3DD7is2DJnTBz5zzCxs7lRJ2W1j5QE7+TXEpvUCZGpSWERj
FQWcP7MYRBKeLye75AqVQUXPQ7PIPcHdSgTDuqs6KlZVU9dO2RXoqkl6q5ZBEDCnxOlakzJfx2ZO
nCguko95bCWdZHHrf23DJDvudQVmm1Xkn20dcdcrUs+pszAEI6miYSu9UKcXbW7oD4Ux0KXvY/DX
jMFLE4c0QXJk2VX8kYT+pd+ntJNxzYqLyis+VSQxqGs3BCZS9QR0g1kPg0QtD8/iwOLfPFSbJ4HN
8dngd41wWhSYiQNYqmODl30i254PLm4twx3C7ibXRXVdIwOM9jap2MrTRX1seoR8KgLcRmuPGVjJ
IYi871BjDP6QSgvjrzphiZvnmhxHWZof40LEt6rJbZB7mkTXSngdk01hgnntlbXTwzyssUnEh6JN
uqXZlsUK4w43yxhuN/WdBgzYwmlI4C0TTUu3zsWHwDN85GKcVUew1ZDWSRFYTLxiYNQmKDglpciv
LVpZ61qEBllpOxk23M7KpUZdOKyaiPsro+vQhui4vdd+nlvOQCpUy9Qnjb/qqjAD4QAvqPebmq/K
zAvcuKLJUQpflXC2uMxgopOGyVCHoeEwr2WSZVY3SLOKPYdWRpqsSzta+mbdo6uWYtNVukSxDGEl
VStatUKvO8q6Mzsahti7qtuiSpLRoO3T8jbwAkKGb7o1OgbeiihBlWc3pE/CipZwC1Rd5+iiiqok
6k6EKoZ1I+rKO05KpXIZkji7Rsygx2FPae3UgIEn+wIcWYAr4dxNPQ/2wyqO2mJpR62PnDKusPch
KJDNsqOoZ23g9l0sqjNbVxRWVOtlWLdODXvhyjaC0PvQgOjYvlPwnMOCo5FOVmmsSiHjAjYvb9k1
ynYMD5Kjluw9lJpwWa6XJE4g6hb8kpjFyVJ7YBWsrNRPBocPFmjMlERm7YB/b8SyAQNYX2plJMky
8xW/N+qGKeSijFRrZfKaX1iG53snKWUVs0In7XQx9EcasullsMz9gIFDrZuhWIlSp2rVx3bSHyGt
k9yxSA/+EuvAW12XqlCGA7CSr0aeDNiFy7SjxIX/kPEhDpGhYcrT9GuYJCI5pqWo4mUUVPbHoa4o
XYVGRvBp0AaapZIFJKjWXtnk6TVsxvQk9AcSreocOFhmVewPS467QTg87PP2POE9LG0DRKV0PYzr
k5JaVuz6HvVrl6UNwKmYBvskHUI63MURpCtdDgwkLu2ToDjGSJlHvmKR7ZAoKsCHyJQH3pwXWdJo
y1xcgu8dmg5VRTjIJA8H4xR5sbnCueeD3xUIli9xHwzZcaBwC868MINWjt+TWCiRwvLxaeF0rTIG
WXXK+KuELo69IRXIEbnAQ6oGJXljGvRTH7ekvrBz0WduKorq3KpT2JJ8zSIgEAmF2fJUgNNvA47T
4KTok7hb6dYa1Cmu/OqTGRJrY3Ve4kmOYfGu6rRjdAnxHQXM1zhMXPARI+3w1lsqrIpvcduCZRH6
YXOtLbv9npcBPWpY63tLHlmIyJR7MI4VZ2G3SiGWdDF0OTWvdGXhT7gy4ButbUCkrMI9A8ebJKE6
KjtC2uOU+Zp8UAYTX1JUjIsT3FK9ZrEO9GXXmxV3UNECNkGbAmOZBqV7CjuY+EI5gtWdgJYsXTjK
2mXHlRYeuQzLOoo+Ep5CXKUzw7Y+r7pqND6Dvru0IsPullmbwE9n2TBAUIwk1bBGERtffmS9Bf0E
fOUJvjCtFN6iLiyYqiDKosERUQOik8d+pK7SkoHIlzVYBT48A51KqjT4UGCzL1NJ8wAB3G3Z1eeJ
EeRaKlQX3aqDA1902TcFGZUGCJMDbwQKpBN4tJOrNPniQff+E94oxSUPrAjWRe/bmzalwEZXhv1H
WnVIn/pg5oanWZ5G4TWH3WKtU4QvCuEX36Bm2S5kYAaKnGTcF/WpF2R+4/YlK1owcHuI6xCYVgex
or+J4si67GqNsqMC9U30tbUTXx8lnpHc94MYdYgq4sAFP4DTpSJ9oFe5nUAcFXnJKmlzv4BYAKi5
vmyDjyqr9KlIotByLVISH9QeRHBlExDxpQyNxl/GJAUxGQyPimMzhdjOXQIKuT+BXuYgG+2osZeh
ZcCMds3QLGGTaYtTXNbEdjwRVw3stLRBYHoX4V+laMQnowcz/WQQVYlvK532ENzFmDXHqiUwVJfg
YHDM1rf94xxgaR0jEvZqyJqmOu96Fl+HjS4kRJeOzKQDj3xobQAnQlgP6zyOsuw8tTvzzKiQmS2D
Ik2aU79v88Dhlk6CT2CJ6FskUlAjoDohHBEFutVStA0vYBfoi+vYL7D6E2cD5Y0cwALrP+cVNQQM
pr1yGTAj8k8ML2+/Bz4yGidm2o6OlUD4qtOGN6zLGiJTSzXUsEgVqUJ62UXxYF0kdg5RhSJvkH1u
4sDsnB6sG71sgxxQa3mqfFkOLAHdoXW8xB3tSreJCS/XAy9g9Udm5zO393qkHS/XdvG1tXr8KQxK
WGuw04kvsNYTfZmKFIOCJbkIVzwJIMrd1d8Ir1uOZRQ17LNF0qJ1W8uvzHOIdvPmY+FpUcLmDit6
mSsKaILj0HdnilZRdsbKPKCXpEOxfex1mYD36jrDP49KI2/dRHugM8Aaq6vzOPaA/1JE/koHPArc
tkPouC9MkPvetpmCEHvAzh+s0qc0zZPt/JhmeB7LeB7amBMjOVc3Zaaz+2oaJNka6P95JGVH0mi8
VPe35/GaraQRRDirh5pMqL19HoZ5TDiNtD+CKuOlnWOFNBUYQwOR0YH6GVQhkCCCcCbEEQAkqP/5
GVSBO0owgm4jkB+CkiALrqn5d1AFLq7BHMI9xLbAq2HQD+wHl1uYQs5sh38EvtzEQbIgL/XQ5gB8
f/gzRnaeux4iYYNIG6v5EDcKzF+nLDJ0EnfYPEkH8Bac0E4+96FPJOuMM56C9xZaSSPb0HaDFCLr
uAo/dX51GvHuukHdWe/hUOaBLSRIBqg4NYDlWH1pk/6CJfTYUraksZdBekp/yLvuxM5r2+mS4lgN
cSsTrcEG9IX0mOjWJaX3lPuV0+oilUhFvQNiRJZlZEBehpurOgy5Y0LqQAodfOttL5A6NvulqPrE
RWX+ybTrWpq1QSA/4zs0H5DTt5U0/aJxytT7GgvsVsTunVJr11Ltd7uOID5fJC70K78pQqacxlZ/
2rBLQRzShjwYhy0LYvpgi/1p++aasxzCni2FfFhpSKoTiIg2lttk/Eh3SeL2ZlOCCdN97zPve1J1
H1AWFNKC+JRCQjmJGa2jqDvm4GSvcNeWEGkxMsn9/NZHpuV2OP0zh6yIpEFDXa+u7myPDBc66jcq
t7zT2lLgDFokkYFvL42U449Es9I1wZWAPBVsOpmGcHDbRqfYKppvXDQllTUkMFfg0jqDydTS9Fi2
inuKnBg8iyUPAiR9MWSyJqk+7xHv3AiiQCueqdz1YqN3KljNstRRsDQUuDs9Ut4yRVqdKpTFa8gu
VNfEaoYv7dAEbobARIh0jM57O2GroY2ib1nZkBPFmP1no5Pkoy5xcRnYRB1zCPSfFcKjbtPH2Qls
4WUtDdMMzyCzk48WbHdWl0NM5JAg73vHlcFB5RrFcUrQVZQJvAyCNv8MOTSzWXsQt/vLgCTlvcnj
epkIAlZY1dfLiHOnTwhEBsO8ls1QwbopwTbU5LzqB5j1dlm0/plOi29gxgvHKOqLMkjbI8+ruhVD
TSdrmokVs4JGQgrvwqxItSoSBFGOsloWWJyC6+PLKIbkUkqH0V8WqTuYEXYzzJXLkh6tspoG+ZKo
a0ZT8E6VHZ1nUElyGtV+80WAA3Vsw+WWMgAbY23wdHC0Ud53xDOOwL52O96rx0DE363y/9uU+djR
51fK/I8Ygvy3L/T4I9kzPW6OzWI46MjHjP1zPU4ZxLkRfSgAIKD9n4LjUJoroO0uhcDT2PYP+kM9
1+NwApZCdApahAkTlt5b9DjYbi/1OGwJsL8w8B/hKo2JHuedX4iaB/WHUFX5CY+FeV6m3SlP48Kx
6vKLDcqoCKE4IM1YPNwFmS4gu9T34LAPygFfMb4SQZ7KKuqvKt88yXSSrYpYK4kHSJyzCBtrFTeQ
+syDlR81wTFEEpDj5x5kqlrtQ2q7KdJVwvK4vu79/JsI+kwaNgPnD9y50MmJNk+azhhOrDztYKfp
xwVcx5Hbj0u6grXtC1jkalzuPc5g4eNIHMejMOSjWJBRQPijqFznD7LDRzHKR4FqSgO5bBSybBS3
eBQ8yB6C7QeyGD0IpY8daxRTC+SVj4LbjCLcxFC0YIxirUcBL1t9gUeRr0D2S9ABPeiCAPUuAd0A
6eTTdlQW1ag2FNi1MgRN0ta6XqajcvE9o1rCj/n3XpvZf/VD2HirwioCCQEuiD0EGh+Jsv4YRPSa
hyitj3M7MKorhdPiCEJUTgo5zaPC6nV6bVdIlDKoPdZIyjxzTXHbhNLyrPvIq9vj8SjBuk6jyB2S
9LIP9YVt5idpHFwUiJzyylhluj0xEtvNBrAbxw00HBxL5beQ8fyoKvFtL/bif5vygOIaON/0uiU4
1l29tABHmmeaA5IdoDzAjIMQ+nj3908LEDqYUDiDIxjkySCxBcbZD80BNfsUzsjDTZRwauPBzPuZ
VuNwHQ7cUAoFaY/VQ/wtmgNqj19oDkahrskc77m14HZ5YP25BRhXZYW6rEMfIBz5pydSKAyJqHFK
jDqXcLlWfmVlbXZUp6a46CJPr7JMYacCYS4zK4X0OSTYFAS1z8oSwvcmjxrQB/a6aevrmHf5eTkY
DnhnJtRX3OAmQi5J2iNq1xA9sttj4fGVYjlyc+Wva+3FMhV94rDW/Nym5ZGpgvRT4f8ve+e2JKmt
be1X2S/ACiRAwOUG8lxZ5/MNUV1VjUAIAZI4Pf0/6F7t1W0ve4evfzvCEe5oV2Ummak555jfGBQW
B037zsbopGz70BO/TX3plQkruvd6jgVUEb9JAJTsJzSVabEo3tzA+7Qjle9fOx475WyMN2Z081SO
Tp45GKbTuu6u59y8hbZ4z2U0buncuJtibrsDtBOZdMq5NXVUX69jdSIZh+ro9UGSz2GY5SXz08JZ
RIIB95pPfr/pY+9Dl+yGB91lZADItFw8l9S7x0KwzZyKfrYCy7B8KR76odmUnT5YqJwJtMB93sUf
2Fs2ScX5XsTTDdTms2b0RTbFqVrie1K1YRIsRiU9de/bsEIPhDfB8Nak2Mc3KTXB22z1lOpQP0dA
fxIgAiTpApaNvnsd1T7JeF7elPFAEkeO0XicZ7dP56b9il756LLmMoJCNsyqOHiVvrUMB9AUYMW3
9FKnIYOszGonwRGfhYuYks5xbIc3jIZ9Aq1Qi32kerkpGx1dxbSdd3UT0WRg1QHnW3wudP9JO8gW
wEuKG8cKF+NB8B6DzbnsZvq1VsHMkp4pN+MVjS9r3gMBaHoBGCkoMhNIAe23aY+FUFdc9m3q1tHV
6CiTgr5A0zqrr1L4XqKJOtqeXrZQhlLrLX1iSr9PiFVNQgJnhy0xmC9iX1nLH4UQ2K/YOO0oR4tG
Oa5bgYtbNxUacb08huWckFx9kUW+s8Tzj37j3JCo/erzeWP5tIOGFaWNYH3qmt47sLrDsS6Pkwk2
fuFdzURc+Z6d0riOWYJl2ZM75g+BdPTeiFil3AkB3kEk1YRe5CiTiRNhauk6WaFsuLdyNkd3LHed
qG7LstgwW7+Mbv8liHuVEkF0NuvhMuqFzXo29olym3MQ4eIGvnMEPuLv2CpS2XgWWVOEF25H3iOK
IqnN/NR6FA0wabetXrxEGSA58zQcBBijdGjcy7GGIoNrDY6lzdOGlV2iaPuMKnyOFRaAkdpW3NNJ
RPN3445bKFIyceoRil2oVCoqe5pm6HdzXIu0mYMPMwbnsaNTIrEv6vKepmUrscKndFdx/RpV4E9k
80DE8kgcfYPnVyeLj23IGJ/7qakzPOGsWIYxiwnagW5CK764tzr2XmcTt1eFz+u0nJzpCI3JOSiJ
mQr69sUgujsMgp+8FbcRa4K0lb4E2+Tl+pCH+C1Lz4O9DP1Nn3c2qzynPkhJbyqXNgmQS5Z2EMMw
94E3kAof4jmqh5QW4VWldI2np+os57VIpmK6AdHlJoDn3rEdrtJ/6qy7YrprYfrzOvu/dVs2n3+s
tOtP/ai0MLohy8+D62KNnwGM+1OlBcEL4Bb/fMdUftFaQPaC4Q+8AJj+tyL8A2CJcGscULVhECPD
GR383wNY/rDmhQOTAlXwsPvE8yRrbNnPlbbow7GqvKi+ckj3UpQGOjQgQDIHh5pInPwMI15vN2Eg
E3fAqOwVF/HcXY6RhHY/QiORJb5dtnDSPrR0WwTu1lXe3VgOdBOFyqZDMV+4Js+Yo7DQIeaxjGib
1qS+QEmq08Hp97XQb5KtvBXxP3Ja6rR1ZJEWwXSaouFDWNKlODzmDNPOhs1DkJC5WTaudeqsl8EE
BtGaNLSxTf3ZZalRzbxt1HxN5yDIaFGf7BR4gFbNs4cFdgYt+kO57Ih2ps26qWmTYtAAMAsvCTga
hiaMr5eYPA2oiuimV3CSO2NShwZ/ZFWZLkULohWHbxLmB68w2zlUOU5HTCZ0nB4XXpxN2JzavD1x
vKZEzaD2JKW3YymyoSjkRjT0nBN6n8+1Qb9vZcJiD/SKHrAgFw4OAd/bS28u0zxqn6Kgd1LmzoUt
0mDoyuLO0Kp9xQrmcV788WRW4cozeleTEQWx61+nAjp7I3ayHRnEpkAl/ojZx3o5BQUanXlBH71O
Q3cpxysHgXYblJwlo8FSbJYYK46ij52do+yt5/CPAOrYDuuelGCJc1LszUxv2HRt/Za96dlTO9sD
wLO62PTtKNVjTHhzBwC0FZ9lsXyME79dPBdjiG1VmIieR9FbT6rLHJ/vg2sadz8Zqq5on8dXvsz1
cY7z1I8xwYwh25t+rhKXu2XK/Xi+9KoF6nKJU3SHRfkTkL0sLCU/e5P6hHhO964q4g41G4B58s85
9/2cw2j+F+ecxF2v+/9yzuGnfpxzqx0BkXk0iHzEW+LOmD+dc/AQUuQ2rKHkHvlZisBtr2FRglXp
u2z8M6eHCD4CzBuM0XclOvxbA8U3kOxnOAqJnLAiA5CC4xg3Vl5zgX4+5lQbLCKYc33l1t69UPqO
6uAkfX0jprZKxsHnx8IF7EH8fTXPVSaFyLf5wMbUTDYHHNp24JFHm2H9e+v6y5LyNiTJ6BuW6IXc
GLcD5BXjdzWh4gDpW3KIC+DuLa/v+hBA8dKoKCFqOjudq8DEV20KLdJJnSnIs9CE1aYeqJP0Zuwu
3Ubeh5ApzuGwNBcVpcCmGaTBIsdXjNbhzteQEaJBjSnjvECf0NzzJoLG4Mg2cXt96Npgm0em2GiB
HXHoy0+QRI+gMJykpsFeec4dxgSS5J0+L+vCdQmKL6AsK/TmFtKzAgbfHypyQQrvY+BvvZeauNgr
lRfZOFhQVYutcEVEnTX1JDK66HbTztXbuOCYn0z/Yc14JKYdk9jFC+qH/KD76Hp2wjaZm42zXFhD
jpMfvQYVOyi38pN4DtwsDjG1Ff11KdH/+EMEnnIiV2hk66Rw7YZELt4SL9SJKQp9CFeTAdiKW1qM
/k3s8PeJNje6ibBarT00XYSTLe0UcPpwIFuPoZS1uTKbWvRVlouRJL0bXcA4cJht6SdBz2HTaG4n
oXHkLJZsOg8wWKQhSrEYlA7DanZTdGa4K4zrpTmJnwpHVQl06F3nVkctwns/Xt6IUzQ7OYvE4Nir
Bh5nau3iW9AZSeu3+9EdaMpMd8RNaDXev24Xe7JKRU4a97r1TXMX5R0euNcoB+pq8fv3EiPvgQ7O
NT7gb7EqMXRVRXPkgjz33XDuQZdkTuQDlxy9z2m0n0M4z1ttpjbpdJTvAXx8kfiKwndBeSqgXG1L
DMQBLfRJRu5xqKqXdolPS0egySi+AyJ+0c1zm2g3cremyEmiRD4m2EtcmmrB12e450X+peNhtAfp
PyWVI+/yxePJRO1T54UH0ZliHwXqCGWoRhlkchvp5sCK4KHnLj8OZrVUVMsdfud40WHng427UhtT
YHL5RlcMPTAZgvFw603enLosZxnJ/Setqh4eGQwlWjfNUVMMM5MThgmfMQ/UujbpMmn1XLgwfzSc
99cVC+JkBEg/NTPZRlY+YuKoksJwLLQrkmiqYK7w2maT15XFcl3A0TMbetBA8RNVMZ711B7cJXIP
XcQPIcnrHcNzSTrmzQmORQO4H9ROZZZEdc3eN92+cmCrUIsB/GSgN8IZgW+ab1LAF1My+zzM4kJn
xifAZ/Afjh9cV1g1KT08kKk6Bb09Km++jP3+bggHi/Fa7riTY8CX+ZI0glwOk30oV9Wjnvm19O2N
KMbHSExnLZdnnWPdIgD/JlJVjwDkjv7k7met72GFcZPONi6mP+UlcT1dCN1tQrdXWzlHOqH9dM57
70Y0c72ZRrIJaXuk1jbJrO1XP8hfy4JcgUK8BDR5jbUUerRBf8nzANOPWJ5rju7C76JoA0LkVcsQ
m+MZyzBD23vF/dPktGoz1PjUgJKdxaNnq2Bf+qzxdrhnHN1wBb4rKFX2Twn/XsLRuf95CQelZf7b
pIIf+q2Co0xD+Qdc7a43lWA/V3AA9WvhRMBi6IFohlz4A7WHpRw+VFCi/1kY/5hU1ns4YpUbY8SB
mAe58W+VcJD5v2Kz0B3XO9NEeHZYXQD9/bWED+2kgctx70pPvosv93CAx63LSOV5aPa6rcIUjvI5
P4XfhITCf++96MKsEkOwig3VBMHa9PxkRgX3FRQJp3L7JFpam01QK6ae6cxfBQyl7Jc5bl44lA1g
WrfCr3YNFA/q0duuRY2vuhnr3RaySA99pJEAzgooJnqVTupYGrAq+QNW1U8BQDyct8uUskleBVBe
yMg2caeOIRQZESzeYRnyPrWCwhoI3QbQ/oauOk7Lb+1YBMcGCg/cJF8iKD4xlJ8JO5BEUEkTD9Bb
wnzZZKsMArnUpiG0oxEakljFJC74nq7yUovtK3yVoCcNzltoG96lkN2xXmWpse+/dgOH+WeVrBZo
V+UqYo1Fd1UFQ3ucpAFgUqLqh1IJMDSQv2K3yC/1N0kstgtsZP7yNVoFs8EP35cSF7eFz+yGAl9J
OPQ1jq3BuVL1IYgdHAKrCMdXOU6X8POEq5OmtzCy9au7Rqw+G5Q1nuBIZjtsqeHRWf04/gR9zi08
sltWt05XlDWaKDh4AKuqpFxdPe5cV3tvdfo4q+enWt0/3gKoevUDBaszSK4eITLNGFZW35C/Ooj8
1UvUS0N3Rnly08BoBGXwtMB4JBpyMKsTqZTR13z1JlWrS8lZ/Urz6lwiq4cJq1G4mVZfU7c6nKA2
xTuzup6q1f8Ur04oWcAT5QLau8VAE8EpCccUkkqrvbu6qL6ZEbXnOTf16rGSqxLZrb6rkrlsG61e
rGp1ZUEDbTcOUECwPfBsBat7q6D8fqb62lq32XAnmqGXtV9UDWah5Az46eoDa2McxQVZ7RPLeolK
2ryOOqgeGnCPieZxs58tvCJ0KmCLyht4drH8T3i75OB/Qlzj3rH7aMTYxUcfTXBoyw+x2gjdKsw3
QyGdvWuqrQ3qDVRfVFkQUImMmz4BKSsTNCXYmFdjlPWtrFM2VOxmIZCkJnvLRingMa1Imda0vgQ5
bfaA676aZvliyMC3piU2qeO6P5cApVJvYlndd+zA5jG/YE447KK88W+xGngsY2WczDV2ynecToQk
pW3fRzyrcHGg2PKqTjTMmjunnO+JM5LtBEQhdYf42EjKNuM4kyQeLBZ8eoaVFV0+qFVox41zdHx3
X3rew4DynmK1eC+76hhWzfUY6tRxwrMOXvOQnqxiwzPa4s+RmYvJdxwYB2FhgfY9XlhQsvs4NnCd
9hAVCuFeUDwab/lpGPyvHaDSlCz12R1dkgxx+LhE8ASU1RJBGJAf0NChuUh5UNV8AxfVBUgLQOwr
hdHISO1ESQBODhyIxqymZADMAJ+PPDQagkuovWA7z3gLSSevrFPc1VP+6ir70vo4HiK3HbJQ9Kdy
JG+TYAyDgwcGXatiSywBCeDBSIF9wlBpzBMLkeixhrOOxieLDK8sdPzreAph6pVhcwArhP/TuBCL
BRTJ1qgT3Lx78GdNOvj5tnJVd1WCiEkqMMaJM8WZmfpPnTORBEMJ0ZKyF2wUZbBRzXRuqHlXfnho
bPAM7Cw4lJIkVb98ASwPJFxNe7zoesspoBtJlqxm4SWvcMrEykEfAys2zL3JoMje6dh+HmHFpiWM
BeV4A4v7RU01Ovmy/mKieB823iUp2p3jd7sCKDje03SqCf4cvPGoLFNd2q+6DK/hLTGbQc0HI32+
gSk8haP7Bviug1qAPY43n7ipb2TsZKTk9zX8SJw1+9DWTWZleV+XJgU7CTdnrsNEzss+hz2hrNPI
1RPsYTSFmviZ22ZOUMeceadhqowwF4k6LVhz65Z9v/mnN/rWG3lgHP68N1rTYbPys1B/VDjWH/zR
HxH2L3cNlwzoN/qNoHX6sTMlIbITgij2YFCMfumPPO9f2NZC/sDSNI7Z2gT9tjNdrYhIVkLrtEoS
BPvZv0HNYanzu/4o/GbYiRDVhIgH3Il1/fuf/F9lhV0Fh1XjjC4K/mMcosDKU3w7xVGWwIFxtgxL
CLMKyh6dQMrNy51VeVbwprhA9x2+Cd7Av9Glhdu9VmFNyPVIdItCNmD9mOihia8k1jHHwrN1eejM
TO/RqznBgWgXpFkcO+ZK5l5+FDPD2Iv+pCJ3ZRjX/mkpllq/x03BxnPvtX1wg0qwG1hTf+YQNDPV
lLZOLZwN1c6tIrKNu6gcbk03m4OPL6iTLLDbLJvcne0rEDFsEsOOuydq4/zUd10VYys38g2f4g68
IIAn687lKTBwfOU5WrykivP4zeoGC1O/y8dlB8VqSUXD7TUHeQ/j1WsoivcKHdUGni2Ztiz4bI38
ZLEiJhlk53+MBliKi7VmV4BFX9xga4RjX0dWsGSgLk6HEWI1rJQjDOSliZ6IAz4tFmP+PpVs2Guv
oQeMb/zCQQu3F6QPYWKz02Fp227nB4NKe5BfiRQN/PERvPtoIRaUpPyMN7fNGLh7gC15Fhl5iiy6
zSDvwzNU7uUgfGQPlDSuIUPxXbiq8n1BkTAwRxX8J5jbwkZkbRR/Rj53dtGw7NFuXHlVyXZzDgDR
0RI1Ke/BzvjTs8/9PBNQqJKQBTsFkh8jxpQa3o+XAip66nJ4+GPgeVmPG05uKqelV24hxJ0zBt5t
w1jzWbl+f5RdCfvI4MOJWHYfzTxUp39Ore8THSacPz+1ss/6fy4BRf63qQ4/+OPUwt3hgIXGLkwA
3zGx/5xa1MeAhrsH4tz49ybpt6kO856Lkw6WJ3zUXbqeNf+e6nDzKlg4gGVgQPTACf89RgzHafuz
LIu7mQUYH1cQJfZ83IT21zPL5LbS9dLQ6wZF3BXlRViI1BvmzU9X5r8hxREO558eCK+EYpkDKZl4
WJtR+Od+fSC45gR6WjFeBwEYfgOThr8JFruejCW2x4WAYyhEpTbqKp7tRSfah5ACx2ihn6UjvGcb
0RNxGvogzoBowUA6mxK5Bjgd87F/HnXbpjLigKPWYYzr+g5YRZTStr5WbokVf9iA9u9ol0XwWqQe
5gg0+tGpk/gSYQxNG2xyM7AwGGBEs83ZsIXb3GQWe6hMg2toQ//JicJz7Ns4wct85n6t0mEK7uDi
vHXkdOk4waUpQUZgMV8l8Fwf4MK4HHNZgDIlD3kR1YlbDENGOTAQO5gbmDm2o2+f4ggQRBG+FnJ+
6RfZJcKGTQZz5HXQ5ycGo8IW+8g9i/N+p3mPd6jvHxQr9mXkF2nN+Ql17wuOX7EdpItjasDeqlYT
+BK7ThS+Akhsllci5cr3Vld+BHR3Rj6I03pZx8SrDclDrxHcM0mbKDLf4lTcgTffwx3iYGyFw270
wdbAtoDBlgZ3ztzWqTRdlIbxa2zkxvWmzCLuJdHWFwk+EBkKdYj3r9qJ0H6NZuzmXBacncEGB+jr
TdYplpJwvqQjbD6z9pORk3IrSH0NV0219bxxt0j/XBQIszHE38UDri0fEQbhsGDI2i5+BaS+h75w
iwSTOfMW/VgyaKcFHBaJZ+o7PdoDCcSQ9Z777iJjKSnG+bEuywD+x+WKThA/Na8GmEH6D1LTDzrW
cM5OZK/q+IDtCEnFOO4gL9xI2GVBL7CL0FualNXN+1K1zzzUPJVM3bNBVJnfhWI/Wm+HmTqlXr7F
9ACvBz5iqCM+iiOZePcGhKTot0vkmDkN2AQExZ1EiUgf2sNdBL9Qk7nhuCXRuI4K/XSs6wBq4ExS
NyeH3vc+Rjc+lAHZDovqIWKKdngUgbcONCNxlyQosXS1EykzUdGD1/p7IFaXxoWWEnVvOStviXA+
cXslkXSxvlH4NGKEHUDsawP1d8zUKMjBkQGG8XG4iPpaZQ7m2aAUmB70UK785fjCqlBvpqI9FyUA
Kt1OeyjmMFfpi7bCktXo/TiaZ3iHK4SmVOlQufCgqbNg+Mp6jbjGGuRUO85hqaE9IFeGb5Zphko0
lB9shCO4GivEqFhyC7fjblLmUyzFmE4WAx1rn8d+gxXNgfs9bG/Ofmbh21S5r0swixQRSDqZ69fa
vxtGjdHaHltVJLXTJ1XTp3TrAiaKfZNweJxHz98P1Nv2hEPGWNph54WV2boE4k4x+K+NT2A9VGOW
O32PJW4L3qe5mtX40qsKQ/7sPyKzITq3Dty19ytAX0R+n+8VlaT+v47RX7G89RRFufDRxQbAhnGf
BRALP7eYWmvPz2c2X49zGib+Lj9Od+p8qNA8vDVPCI85YJBK8lObVsBVdt7hr4/xVeH7T7X498PH
uNVpAKVtjYb+9eH73AaDw+xyPYRvbX6IXZPE06ujZPL3H4e6BJIn7iGCIPLfJSnEBjWrhMntmpQX
CJhI6vozLg5Aav+Px/m1+n1/PbieqIEEeSUYAn59PV3nt4El3L1mwaln2OArfH6f/vq1fMtZ+/1F
+/nF/O5BLHddTbHbvx62+hF7n82wdz+ibF2sndeGL7kFJJjILd0/XEZZnVwO53L7qDf55qY6jske
9o8Lk+F/zNQW/24e//r50V8h8e8XYaXDEUILfhQZL79ehBpGfdLMLrmGhnqZ37gb90yekJ0FP2Bq
szk5vpDdlF5223EfBKk88cS7gbi0BY/xD8X0b+8X2rc/byQRc2D12x9n33WA/K2LJP8CiOuiVcQk
i34Rb9KP2ReZsZhe3Qj3HA8weKIf/NFFIlEQ/Ab+Cqv3IMLXCD/1YzcAXhjMESwKcEv+fcfYCiX/
dDJgwsZ4jVBDNLp4CtG32/L9fDBN8GfBQpz7V2Jpw/mwMCW9LwP3TH4Fe6onJbR+h6JCrDKN5Xez
X/iJAJyeNdTCMIaqlCAtRGxsbPxMB9LduyNKajR5EOcH9UbmpUiht70tnZ4y6SFOptfsVMsC7uC8
QkYZPJlFbjatRCcxRPCFRvMCyTDGUgEzYY7oBFDIoyOHDe9NnXFmTrZpY3SG5dNA2E3pNTuGPLJU
TYADl13ZgcUaXOliP6puUHsekYN30L5GrlWN1oUaB1I8nKoQE5e3uEJAIuvcvYWQiW0evaauqc/W
X9QWZvAmoznKaKm7r15evNkKvJR0wo2ZP8eJBhmyKDaDg/DDWjbnifpPbVNg7xuN7d7XSN/ovbFN
RUvw5VOAk5Yo7qEmTCdvKasN7ZdPG+Vbq4YTiccdCWFcaNVOe3rTIy4C4u4AIbUVGG69TwNlCwMx
plo3waLmAjLEfgkQImExeyY8NOkAdSxaZbK6bvcSutmkqvsaOpoxzU3buycOfQ3uU3iYA3kz4C21
qwTnTmXf7IxDom3E2iNB5FkDQSRFetAFJN4LEJcNjHkIujsC1OtvyAT5/7Xq64JutKeK5sZZzNzu
JI4jsAbCfYZXIlYJeqt3GnjQihGJWFL7Dl/fNqTIsxsj/HVpx08I/zqt4GpL5DDtzcwv/SaPNs44
zdvO8K+jA52viuYXlNZ7s0w3ZCCvyJ05ump5KQeIFyzQ3iYs/I+STsfRLebXmncigW8GSS9eg9Uq
hJvAxUI56G9gt96HfeRc2LC7n0u8LBhcQIcU0VU+aUgUfMGCFk0YN9BTBQNkzmZ3v4RfSaV8hAeY
x8HAOS5bBErWSDIQReztAqdEMAkiXloSAKsb+tRR/L0Q3ZLWdl620QhkpZqLHXX0Swn8XuFrkzZR
MyVIcsCAohfs7QHTEUxY0+jnoBccsOzOM2B+eCo9Atm1eghyXiAHgobgNrA1R7AMfM/7OhQheAh1
bAI9JhwpFbaLgoQz8VVzcwUw9m3Q0PtrbOzFXF1G1D21MCAmTMWnBpEaaz7nkFZYd/freFOZYdx1
E+zShnskgSzy1ojoZQnVRtYYAHTx4gmvvVsctmZGRgiTocFD6PC7CRCOG4/PHffLQ8vjwzJ1JwxP
7SlX+plhtYAQpjuHsQP3oisHHSxHemTrL5dS9nuh8NlcGAx7LWlshkSa2wG5pQIm/sKWu77i8UZM
MQbCYWKvetAHTit7m0cDxJum3mL9dWIGuZjfTvT/3110q7T6V6Xte3z4H0vb+lM/lTZUtfVuFR62
y1BJfipt3r/cFdxFZwYFF/rEb6VtzdENcBfnyI/glovRufyntMUolWjm4K/5USv/hqwLreb3pQ2b
btzqDo8V0wie7LX0/STrNjX29TWextUQc6EBgXsPgGz31bqUsthOEeMD13GGOcmxS5rWFZZal1kE
Wy2DL3/aeh7ZFtV8Hzmq29lKws9CsD1VTG4q7MeKb5uy5dvWjDFlnczDLk1Hi3+L0J1xx3qWX3B/
ZodqCjPWUS9tw6E/I6DLJgEWkNspJF8McmtdmIH37dhc9t/2eQieFIiZtbczdn3huvTr1vVfIbAI
dOsGa18I1VjtYU1Y2BhYWIxyKPGsoklsq8I6e7KuF6t10Rhh40gaOtlMD3mZmKYa9myNmS3WJaXx
kCQi1sVlTuGQmNZlplnXmiGpSdLi4Zc1LbNHE4FHAYu7rFmaWKt0WYx4zRoxmxXiNifEbpoe+odp
6JtZEznZms2pzIAkury6VYFOBVOnwYF1qGdelZaym3cLdAOssPtNBAEi7b8lgEbOQ4tIUKQX7ZE4
Eh2CbrnuRwGVAPGhXhe+K8SJdjDigyDgR5jrrwOT3xcDptUR7oABUaQ9IkldRJPiQNSw+iGtFKmz
IaIv1HM11keGQNOpQrLpjIjTac06tSbewg75GjTxZ9sgDZUgaQSho0hIbRguC3wXLUzbiFAtS9Rb
AVz5lSJfNULOqnARuAp0d43FhB3IgYS9kWsw66L1Exv0S8SmVPlUbURRWqDUJUfR6R7VGvAqXUg5
U8SKTCP9Va2r3JoOXloO2AI0C6o/LDoqLXx73eoaIDmY802/2He/Nc8DFx+yaPxt7pGPNhfVlk/c
HBuAyrmDIMCiCYctm7w8ReuFjB58XHewoEDNyX0JHzvpgqz1vYNj43hXRIDovEjhi6CirzMCAXyh
v3jtiCApBFVtSKVFZhkym5uW4dmutq7IbVOktdTbEgmzjOcxIkxiWG9KfEeQgYEwJsUXJBR1qYft
CpLChl0xsBiJcdOVN+R7GjSwWjVXTEQHxym3lsKkkeXjOcbv1L65a7EpTNkcXgvJnsJYgivoapBo
1Zzl1bQTBNJKV37qxjyHNXczNRk4Zqo23ugQfZaKTQx3Z7NVoj1TikhVRz7owgKuKy6MbOWeUJ0i
/+Wa1sPetyNWIyMqTD9NV7KmyxGJPC9cl5cBg5eWuWN4qLrwgsbyEu3FrnY8cGsI8EmVEEvCmCmx
EiJR6hSkPNiqvKC2vCCyfakJbHXRqG0C6u3BD4Mn2+srCnvTDjE8cTaB2EgDjoiAvsFqFyF1UFWt
2RVgVND+AoJxZnk7svxpgaUv6VoM1Av2yovBzxWIQ4K8V2dQbw750n92CPnZ0AUp4B10QLdQQG5n
7IdjXNZ0MPyJ5t6NGVcCpLTzupf2MzH0bC869ys055NflhclgumSqZYePtZdhgzkl4V593mO973P
VZgietxBf01usdx7IXklk8JrbqgDCIUs0VcW251ZnDnpEKW0Aclx03O7yxt6P3B9dgengPEsOiJE
skM6hLypIZ5NYekc+Vg/lIGBlGYQJ/H/2DuzJbeNLcr+Sv8AHJgyAbySAGey5vEFUaWSMM8zvr4X
pPa9Gmw5HP163xwqF8kCgcyT5+y99mSjkYCL3VJqr+MqRQKRD4mXmmPhzmp4nvNBwURL4a/U6Zdg
9u+rEi/CpC3jmygst2MYf9SluAoKdIKqPczuAl/H+gQOfcDvt2vtcmMNKDXmar6ZaF16St9SsTvB
3WhEXqcrOwczguNk/cYs6wNnuZBdIARiVmXQiQfJxFoWaIaz6RmuOWpP9Y2TTrQd9bBb20N/kV32
AEHhRAnFr+owGnpzgwKVGbh9jMp6Fzc+widuInTNHKfQdm8nS/s0a+VZBKzZo4N5Iw4hEdSf2ziC
/1S9zWPgWRFPZzPh3TC0l8LOkeXaWJagXPmJurNaeMo4LMxF2E93kZW7XFlRarsiyVMat9Z92UVn
7Fifk5aFMjLkIiu0QKFNSAvn6KwZGNDGxrmqnZni1RweU+7bFd5DBMxDHYLYwz/o1De16KknIXdv
cVq8sXfWXhGFKFfCqaC/bMgr21bsrWIJfVs39XOUaHcCZPa6APysWe0LoGDIU0sx2XA4wy9SIrAe
tc2s2++GbwMPcWo0yMV7HVcFdK7io/FnfFqcj1wo7fMFZpRw/bK6Zs87DyY/g2d0bB1UIC31uFEq
hedk3Qc6CWTeVvVhhPlVHDtQgtCErlvmhFopcbwGU7hxCqd3g7EFER53GNZaVjDfFpfQUnnKcDYh
gCgAPgQ7Tn+hZ7FOMpnkiJrfTcUcbiMlfk2s8hNns7URZtnW95MtdQTfgd/faaLU1lVfWYdZsfZl
i16IRTwBkmRayK7naS0VrblyZtMNpuxLoibF2s6Gq9HCT9sowUk1EK84bfnFVnK0W6bzMhSK5ilV
RiMolwyjhViVgfIMT9S/qe38zGoOSuxs9uE2jEyhcCwJbewjiVNdijQtQoyakRowr46qHnuQ5lTh
6X919NdZ41Lb/n2L6Fus4q919PJb/6mjMYDQy9HAHpDNDFrouzoaZSk9GQzli8fsB6gQxTL4X5xx
An8Tcc684J8tIucPXoS61xIWDF3md/9GHqEvH+3HFhFLooV53WDhgWJk/NQ8RpWehSi81SvGm2Qp
ZHPsSe21CD5UB0k261Mt81Nko7GOBkc/DSX/XuvWlaTd3lXlRtrBbdp1r00zrwHsj1tYM895LbZV
ad0aOR14p2qxGbxgay9X6dh6s5UcW4G8P2hEv9KD7qEc83sQC9Wqc9SUpVdrUQWWL34cuVLoR4Gk
MNNYFTEuafH8rJtKtc7G9hCK3HPG2Fonc7RrOkb7cT4/a4G1Y+YWrc2kvR6t8CXGpDrbxcmJq2dT
AuBJhP5FGfKnqu4eEw3NKE6wDcauzWzN15GT0HSBQVo6cbemYnDtCDcLCxUFhD/swSkvaQdYwQg7
sCplUzc9IsTMfoSqy0Cynaz93OEhGXzzGKtMI+NB2ckBG4UWMYHo0CxBrt3rqNKGUt4OJSeBNqsf
UjG9pSXtIFnZhyBUn9RMHG21QHKhjucgKcVqCCzFE3G+a3slZujSHU2z2aPEANLki8OkfSD6fw38
7mGyxYCQnqncbA+vidosFE6Dkt78bFhlv3aE9iBnJkODavZItPwNuN1gNQ29pGM0sWtNW9sevBI/
btdwzYIgNd1hCmJaNglthPoCqFALPd+Ki23LcGs8tgVi3Nks1XZf2HbgtZYzkdPRxrhnCrW24Ocs
CRtMS0jbSPtqYEIi9Baq5pLHMX7N5sj0AlBaaoYUW1W1Lk3nnHVV5WGe/JQvGR+KT3PGMLHi6zoJ
IHDv3YFIELlkgzgIJG2BQnQiNmRa8kOsJUkkEMmtNZfTEbjCRQmRFCO25zVUuSqU8DklkCRfkkn6
sQdWQlaJo5BaYlbiIybGRJ/Gz3NbT+Dy0sdAmtwKhkGRQ/ZJ0ujHeklDiQdyUdCpXI9fk1KcZGeG
9QsNRriuipl6glgVLBMYXUzJDNoaPlCtDas8HRgUZq3jkikHOhL80TkNlEvwkrLzEd6Sj/GHOYK7
ItdFzzE5JvNR5vk2Lsqb3qBoCEmCKc2opN8TbFO2WXQLHBtV+eQvQiLBv9ja8BTM1U1EvsxkKs1p
aF7gLDfYDpTiiDVkjlxeamTjTFzaPgq1brpSlLBZp/XYwwZbmnRhddstsIGEqfYMfWCmS4dDlFIQ
BUtq9tRG1ZTUn/63r3zdV7Tf7ivHJQ3o121l+aU/txX80ybLNk5nvMlfTQT/nTyof7ChqJIIJLkM
JP/TnTHkHzRE2DmWDAAWzu/kK4ZgWkGfx9IRnkDhpp3yL7oz1jLw/O9wjfYTmxavh4mRLo2hmri7
v2/OaL7RMv+2KKpmxagfdCekgQ5TIANrQZeavgVy2QiZbGLATJNjtVWH9EZVDET0BiDbOhqRlLWW
6vMs27Kp9llRz+5k9QZhNKKJAcA2/gGJOjVykRZzclNkyRMm21upha/joON7NozLJDnemLmI2HRG
ZBJV+E7iDGE3aq4vGNYQIrqyHlv06HkMLECnEzEYzV2o+c+lk1Nk4sBDw5CGWTA+QlNv1lnUwVYW
dVIWbsirynXRTW1+NpUJDW0Y49WJ/A1jhcHDwcuOmvflux7PrwGdHnBsmb/WynzDGWJYF1m8q2Jl
hwKsRdKWv6tGHXPyhKk2m9lDFCif9HOZT+fCTFxAo1yedE7Wfurfa5V9kxWq53DsjucbrZUPQ09L
gmXXzGsIHv97EL+Jybg1/77AI4rjrf9cv/3Fw7gQC/58GBeT7xIdCR/MoDNqfl/jqX84TG/RV2lS
Rcv63RjQRgLLL6nSQWvGs8eP/qzxrD8YtaDLogBcIjzUfyWBhU/08+NoM09EZQtZhTrT+VnllQc2
XoreLq5UNQ12zOO2YcC4iunVsbP6aT10enMaO73YGuqMz2zsrvOY9qmRZ+81zS23AYCCj054jlFP
62CQxio2w2qNP4UkJ2XQ3ZBIJqSncnaZ7mTXVeA8hWLGiggYcj2q8xHm8qkWJtgZB9eJEm6rqXzy
7aCgf2Wf53rCBl8k/a5L20OQxYitTHGY7YjKw7TOUjdp7yJXbSP7xhnYqfI6wl1cv9HBZgwkgsc+
E+VqIAIB6LfVr5N+Psvcehp92NCaYTw7afEkx/7oJNppsNJ7RWTnlkneGgzwQ1776O01cO7+cLRo
8eZ5vNEC5UWPQBRVwQYjswXxoTyVVvFMQ/pC3RyvQjFu0ZrRPpImnVHsgfmI3FSxWi+Sc7gC1QYF
pR6XiqSaPNvOO6/vl550nF3VjBjByxu7ItRpAwwdBBfK7GAetC3UyU0sKwy3fcyur+VrRZ+vDV9+
0tvyPummzWDjNTCC/Ho05WYKs30EGppuS3MtO+shrPzAK83pWUYIvKJBlES+LcfQnLOtEU0NA14L
19d8A6jF2mhhehi19HO4qNzsVn+QYa2BQtb9NYOkq7i39EvqW7vRDu6qixnuJS5nYgSOcoI7SjA9
YKgelkIF9rflBNEabb+tO/s5lBh+uiqH0VNEW8gZ+SrJik+JJQs3buEX6JW2SW2gvosOqp12EUJY
EBLxe10bn+kofMaUFuyCyrwgeduPfUWNqvZ06KkRHw2S3FwCNXBe+EvSVXXIhNynQoMyHm5qO8Ai
C4Dem8ZRh/8iKWm/khZy0bXe0Cs3UTl8OHMy1Guhwr1T8RvPldmsLBzIHDL0NVKUnSMXn6vu42Hn
xOaS/LzTFxszKq830Oj3kDRdlHgs9zD2uHW5j5ynwqDRGy6GaIaglRc5weghuIPhB/4XNwsWaka/
wEJFeuv0RLzQtluaWvvckSe/b2BYLVbsNEBiaVkQMW2s8xtjsWyDhlU3ymLjVmEsHyc9v/FxeBuL
1bvF820v5u8R4P2+ZCy+CtsBzciMc9ekaRuo81VR8KSQ3DTS9S6vfZzlYYb2qlzM5hLXeZrL1xYX
elPcRCaHthqDum1n/n6UxWVkZ1v1mNgdvfgwm6UPib0dQE/pWQldZGVUkFMvLvhBLN7/ChwUVcAW
kzKboL7Y5utTHO8brPRRUU3IBLgN+sx/mxa/vT5VZ39x4OdY8UdEcnTjFOxa4aMSJJ+TjkeG3jz3
Nkb+xqEuWJz9DlpPQNHpPcEZX5zF/h+M3HfGQgQo6KKY5IWgqURB3gdVflL0UZw1WAIKc4rL2AOi
txfQgOXMvjsu8IHO9+nL1wAJwqE/93Vic4JlBpE60V1YczcLM0D0l1KBmz7fOHh6Ql6m+abwS0mL
lNFqk/XzuoSKYHDK5DjLgxXOlb9SFngCKEB/0xPi5RZVa+6guOJMJNeMwRIskuomM40jxcad6qv3
/mL21fT+QJNK94x5ppBpirqOYfJq9XPiMAjxJBl88brp4mPX9bAD297IdHzsPnrOOGJM4QSh+b+m
zzddkMlO/Pc1AbYYYknBjM2/VujLb/6nKFjCZjVNsLU7wD5/aPzoVOj0d0ApUY5/3fn/n28YCimb
hw3P1Poa67Vs5X8WBfIP9ERMV63FxIIy7l8VBZiNfykKOCIsp2E6P4t7ePn5dwNUx1eQKtt2eZWP
7AnaJFG06SnChzF/ipgBenpccxvr6JrTxKJRKtp9JbQvfaFmjFKz4TAsc58sRA/Uqt0u4KkUXA/2
O4zzRd5hfMQBGlvx++AjiNXws6z6nOcAKH7uWZmweSYn5zqssgdR2zVMQHgBHHFPE8j5IGgLFrgn
PzbusyzKr+AKKIiAtAE2j0VnFCXtIUvDJ98kgzJxnBs7aUdmnPpnTam7TaArwz0oux2z42NcojhR
R/gazXhbabRbizLdp0p16ZcpK542oTaIYcV4yqz6LmxEvaqnAvOiNTN9MRAqOOHaD5pPEz3cFbmq
Pd7JidZz5G+DqLoDwMN8zoR9BryuqetoT6/9VdNY64dxuLDsIOeYA+DxSLO7kYRRyIzumHSkyNQJ
Avf51seJuhOKxqXpov6YRuAKMxFcnDI6OHaCOS9NvblVPuI4dVZRVZFWyZ46zEPEGopXUekTWkwh
KWbdTExGal9THqQorjW6z3G5alvjFjDhbdF86HbxxeLlOLmMvBQ9p1Br3kLAkevGxwtpWi14BkNf
GSUECEPqHLJ6omhSM2Ji1yxF3C0bdXFdZdq5GuORdCut9CJRMJLlHt7Oun5vzl/LMAdpv3jgFOMc
qj7eJRaDNFn5F7WhDWX7CfEf6bEp2msCZdw2xYM8MNMboXZoInpyzMbc5qPurH3SC1wnrTZzhLWn
mp71ItuYef9qDlO5z4z+tm/II9Hm4TPvTJCCkYL6qLSrHNHbqtKm63i0DfiE4dnpFP/UG/W7VvvW
CmCkvo/orb+GSmZ5FcAs4U051Ad13ohEMLuI+/IS9Ip1KIOiIeUAFfHKgpvlcIEqZlTS/iD0Zjj0
wlghptvUyK5blOaTMAbX8OsXB5352pyAX3As9ioiTGk07ephalDPcYltanIlC+cHoyy0lalPA1MN
686u5LHVps+L6MnVEnGbohI6SmIm5ow4u3BwSYLKPRR7QC+a8COeS2ffFtbHaC32ZHumddQ7DSDr
5qatCi5xfWZ6ZLtWPZSHwqo5zlrK4mAlFG42ucPtjqKV8rAYqedIfZw2seZ/SUv/Oq2nzjUzgvD6
sCvWsqMPx5jmWOmAOGdVVih5qP6Z2Vh+fhhinaGTr7/E1ALL9LRFK6GoZ4ZO4jP27uS+UKmtOJWw
+2ppiFn9fyfWbydWlDB/vzt56f9xixou1a+b06LX/nNzon20CHRU1Dv2Ysz8/sSqkaLOQ0rRRB/o
q/Dnz83JQfdDuB3bGbOCb3LXPzen5TCrmwgyIA1x2Pl3J1bwWL9sTrwOenpaRyjAed0fN6cq8EeW
wh4ulVk8DguYpodQo2DYWllxU18Tfga+BovHs0AsQTc7RZ1iKTSWyMoFvt7nhzkARkHWI6hPuDiU
ppZbozVcl5rO6NGE35AtMUVYeep1a3aFV/lOv64agDsx5B3inej0jnaIRM96cKDz4IXIN3KGuGRB
7mGvDnY1LJ82Gp/8AblcH5d3dRFCRFIiZ6epwaccEtBIUDZwgkuh0mJFy6nBoYo1VgaN/DNIQim4
0GlBCzEtPXKqefFb/dDKsiE+qrtTGZBvgopoLtqw6gpiw7skUmHXLviimqgqxpnjZ1nIz2R6xi7M
ApRAUI+c0XjO9SI/lF1arOjVvel9eBMuqCQ+JoZT1BbscbbRW2sllEXxOCJh9BDMo7sAaicg2GFB
3wQFVm2fCnwWOD5TzRsX2l2Rlls68B+sIugWkmBHPoKNxlOgQxnm2Y0jRXqdMl5Z4WCsIph6EWy9
foHsMdAqYC7YLC4lCL4YFl/aD3tDtq+EI5EOY4Dr6+D2zQvAz1anRzuNB/t6bAB8l+04o4zCyOGc
QqX8Mi8h2T4bkdfEtP8LNAYrpsPjNovoG1RR7OzLagpvjER/wGwOxojIs51uMxQJEuNlVq1VmaGc
6O47mQYXdLTlYVazmqgbJdmVovCGWL3VOC9hjbE5/3FwXiVq9LgcqOEmdPaKmPTYNQIS8UpZjq4o
SPJTlOI6iH1/JRsG61K9JxaP41AM/KvDzpfKg9nlXGKCLxC6PJUi+rCM7OSTqIv4oGImU7fsL0r3
ZmYNxybTeFH09BVTGITHwNpOjlkAUIt3uspx3GLPHbt5o+gG4pHZ3kz4WRmKASBLTtK3iFOkJCDG
8S6b8y/Mo1BddLZcSTGBIEiA2TJL+kQO+DPzSzoJ420atqepV+7p0ry2mDywtjmrqlOO1VhfVMN/
GPP4OA0I5ipffwwydLhh7d/7o3VsY65QqQfmhu0LwIBNqrtuvvjW8EB7bF6lQcrcSmFGQWzbe2M6
t0MdX4KypmO6oNus/mrQzFtj4m/JACDXjbanl72mr30IgKZ1cjiWingPpvZxMdkFuQCvIq7CaN4Z
dbYqVShXSTM9C9Kwt3GgMOyLUFazzEGzrBTwNAsDwieKbt1H9XPdZAfD6c+JgQFZnR+7HF5JTwN2
XRnDHj/2EjC5kFuU9Ba8yTuJhbAQkhSpnLS3jLYMD2CB7fkthF0yWbIN4UC72aShE5dZTGBYuR4b
sFo60pllxWWV0hCLmf110akcdwHzb7p+uglUgGIaQmaVS8CadGNM8hx3zidBQxsRsXzQpXk2zAod
V4eWEes5eR3LElejwuoD9U538k1qhbRUyiZbNbB0HE2ku4w+hJa29JWyVq4l91s3B3eaar5bGVry
QLfPJARQxQaKssF1eqtZEHGqINGI+rLedXLkPA21JYHZpTcZVFhZpBNDb0+bBORD3c7+XVyR4h3V
2n0e9Tm0Uiv6VIbKRZJZ5UG2B+8ZPQ1hj9Ik3FH2f5kxbnktrTZYKipsmwrNRNQIBdV/M2dPGdCg
4DzrJNi3si88UxNHYdf3zsLJqhdiFmmfr8UcObS4eoMchPnZ73FiW33zLluGw3NXX5tReglBcRkg
uUbQXNrC6DLy+pDOOnI5pnJdK266ZD53DnF+ciF8xRR9NsgvVSF6pV4oYGKgMUib5d4AEBb55O0A
DIsXcljC/J5PMz87C1Ssmh4zMdyUQ3zN/cBFAD+WgSGbBYf7NkAz16v5lm5rh+CnvcuBl2myOZA+
eTTV8SHXnZVvimsJ7Kx04KPb/Me4cNCsVDIjXNhojox0qCfw0nIVphprrDtE5S4HqVYvbDULyBrj
WUCpC3dNLAQ2BGmw2Mp4Py90NiXBnR8vvLaF3Aa5Sd/DW4koquG6FQvhLVFrDB8L9S0YMbcuHLj/
VWVfq7LFX/b3Vdm3nsHqrX5/q99+rcyWX/6uMkNUbS6yalIDSNf7Ti+i/kGvgEa+joYYCxFF25+V
mfiDxCrhMNhziDoGnPHftoHxB5oGqdoLAGOp2v4VbuwXtQgxV8hECArXDepAg0/3fdPACMEDEdhk
XsLsdW4u4/jy3WW5/jYi/D4EmD7Gz5WfAy4VG6NBmjGDk59nFZ2PNBRWXnfpZuHpevllKk16z/Gt
qNsvHNUo4urIpUEG4kzJ90Ccd3UVA5opGYIrsgDPaGxzq94pjXof0wY2m/JDSZEi6wsZqKY6bBNo
zmF6hdtEJCejbyvjKshoSK5GDL8BFxG5Jvq/jVFMMyFXqtiPYeN/GQTnF4M8OReTu0UjOEo/Kn2J
TCK70jMbnZGKijIrBjcK3cL8BHE+27SaFSBFIV8bE9DX2ufKKpFxpHb97NSB4VGPssKb5sABdeC0
rRftRquNeEUwI8766BXg+knouotMcToNQV/t0rzY5Xk7uwDQaRCmWwxHZ9hUiEbn/FVRBwoFc4Sw
r1y1gCNpRs7zBoqIG5TtnRWDfVfLvYFTO1EVEmy7Q1uqQDO66WZM7EM8jzljiNrV2uRQWdabr/UD
G1e8C3AbdUn01sIWpSNKwoywd/SorxTilwXE4ZATH9mkB6ezdlklTmaODLnW+3NqzK7MDEDI1U5O
9C4K03mMoxlpZJJeIzoF5T+j6YvUl7JiejspMR14875NtWTxQ6H4nM07zGBA+JsRsJAd7aeUjpKI
0cP5sdyiFW4Q72OaNx0P6P6a72Ixj7T9hsSuw8gwyjH7J7Mw1kMoLrKRL007XyWReRtmPiu2n8E+
6c/hUO+LadgHY/wU9pjTM2fgnDqcQj29kxqu2jZOn8jbegRz9oTuZFPUWKdmQYBw/SrNlsK8dbaK
0bwU/PH6lI1bZZo/ktTyJgshvE+LLBlPbBU2oxH8ZPQFeFEbgJRp+atAWq88BZs4il8Cn6nD2MAQ
U7qO26b6MhXxzm5jzzTKV+jSL4qi3jXWRNGD5KUfnbUq0vc58W8SiE9AP4NTQpj9FnRTsjIV6z4k
ZxaFcbgOooARTpa9OxqoB6UMe8+eLXG2xyY/REyvXKXkLC/kXeyYz13ZEJCs1yi4yuXpiYc7VYuP
5I7Y1DCQowS1IYMPcTva+O+6qUuPFCXoVSVuNyctKXWYi3tDIy8BKW60iuSjyrTadSrffic/F/8f
sn/U+Ag1eb4B4zJrnxS8UHHUR1AII3mqSgkJl0uxMpISm5tCok6MwNFlo6yJvVZUr50ZeRAwD3zA
luySWYchSgqiSSd91Vb1kZPTVWmWDdSskXaZQVdf06tmR6c29tDwn6QWEIuSlPlWm8XWH2fHm0dd
W3VmWnoFXRQQ51F6ZcHxpjNK7gEDg2Dt+yhC5+mx9o03KyEhyNBg02hIOTVFQdCknPwExiy+C0Hl
ICDGpEV2V4hO4VFF+/nUJfnt0APlAkF5ZXKcYmVZ17HpwpAEr1zmR6tCQYVvmv9/AXSBISstjAvF
dAgqf4ctA6AuLNW5PaWxsg1FeFZT9SmpeypG9TA4lAL5mLyasU9+BZStwfblUWtVymEzst45jOrr
GTMBZ6hqyO4Rxg2bPjIw3hcRwEAal6E9J94cRfV5tpOLoZe7BJ+XVkmkQpAIgFTkq3kQLkse8ja/
8wLIwvt06h+kUt5neoYjcdWlLuT80CPcL3NYczp8fbLA0N8qrL/KF5pjKhhBjtm8nenWpTSvCoPu
03pKrH7Xx2G/zU3U2Sz9dH8r3kHv0vucjBnGJKpz6KY6PqRxcMnx69P6NOw9HMlwZRbWvaiKmP9i
uA13viFAw/R9enzVvfQxAuViXsgI+DS6otmILtBQQo+bdrKVban2jPymCpIlv7iqe9E91+itN0u4
G1ZA1NrsSmG7M/ucr3goN4adIWXLihfZl/t8iPADEULSMIWfrENSTQ9qGHt9hEWnKMOHLtVxd1YO
GRwgPAslrt3CT2lXdDHZy6r6glLAcI3RrJ47WWpuWSBvQ1iNtA2aH7I441lfKktfFyMUX8WBNaD+
EzDmx7YMYwk6BXIJx2Q8QW6Z/Al0oGcZI4Ugzgkaj10SCPdCDjdD3Wx+XwXof/0+qFLRpaJl+qUI
aK0Zg2uYX7I0XZJ1HliVru0se2W5rFfD5PAFTOmuH0uGx8mu0cNT2Oskm+RHVqqT8Bu4VslN6ANS
rFTPQKuPg5lhu/+56CRQDx4Bc7YvUg0o1/5T1/1FAfOXnxxpFdN0UxiY5H4skETWFeR1JfllIAgi
mO7VmHzz4tvkjRjWv44CdX4UdHwdDznQiXSOGFwjbvQf36XpEpoHSddfSDQng0aae6NgYVD9in2j
74XnK/2zgiXqJne4Bx11P9jDkrdQslAZ6s0cZ5uQmfBNFxrOXc6uhEn5oqgalCx6RGuBYGkliuAS
YX4dfTpFg85zIzM6NNMyrBBa+pa0KSfLINrOAzaPRpNemEaMYlrjk1LrGwGjC9xfhfYBLtu6qAzQ
owQEsRVR2oRyX83658gEEGItmi7Ex6OVnieGBivLmiBnakN8VkMaNPPYhfSMmBuEDn0NLQoe/U7L
7quB2bKjBSeRLdNgWbY7SQRcX7DFaSVGkZiza6nqV0KF2zNiqmC9T0+++taRRyqsPevii63gvLIG
bTfF5guRUaGXl/i7SkSPBjl1s0npQQRe4lpBV7ijku1ozgh4iuOBA/xbQhLrJ5A9WxrgGYe18KwX
+BOMptpEBqLbTh9vMwSVFwc+qSbn8VhZzTdx1t/eDmjJfyiav90PPJCLKNxGibSAiL8vy32DuHh+
1l5Ad7wZTpO5EFPSi1SqZsV6+orSmtYSUBxNjsiZaV+wop65KjNdrMTawTo/txzth1k/i8J+Nsw8
3DSZqDZdp5r7TOj0D6Ikw8Hf22hxTbJT2dTdgbx1Fzsz9QgLkYozjiTT6i7IUM1oYVOwG3Qg6UuS
p8pqI7P5U01KhsOwkkwnfEZ1htREn6idp8BlUOXijYRTJ6CS1oN8jm25H3z9Q1oj0tmBZQCHt8zH
e9+JTxbOj4pIFfpY3CHlqpv0O5wq5yQO76pI3GaWs5VT+2wnjMWoG1VPVh21YIUCuRsYPQmmMEYM
GJVoFZf+15vCPbEuHeNFM5RnLewrt2pB0WAMgemjjPA4C08z662qxnuCeD2d0A52I7x0KD8QSx8t
FBsDXWu2eYzaaXsPHuDi2CNih+kNpfKnyqjfckt6tN7OSZdjzEquinA8WbncDIXphhYqlCi31roT
3SSlkuwne6aFMnky9d2spKBhaMu5hIexV5wbch2/MMBB9jupa5OJa9t26MebkHSXdo109CQbYxsZ
Fd+SRryKGcxrshlKSFbhSdF8L0EcXBQtaE6gVqG5CsJioyfKMWMXDwcY9Vr60pfNBtlN7uxN09U0
ds3UHzYwyohCyEq3Uyp0KglRXeiBZlqYloMeedCgAjUqi+5Muz3WbDop9jUoz12Qt8dgqE65Lah6
MZpdpSU8hSm1DmZAd0+PKzD7NFQNItHWAzTgsBzOSsMpIZXrGBZxAYaLIF/wMEhOBuqYSzZu5LQp
zB0JjE+lip4jU89SQAIFbn2Kw6HBqOqTwavT726YUq+t2M+3Q48fnbphB8+eaC5p7eqeKsQqmIpa
KNVBUGv/sLX9w5P6s91CD50pdsqku9A2X/XNOYNoODJa9YerpD5rnFh+vx/9aJP+ZWVYDNnfrww6
MwtOF6wMRfFZsz768XZBPgTPg7n7/RuJHzW/395JmgISCkZ/pMnLzvidnmBo2r6KkcVfZo1JQhmN
mC99/V40QbEPC4V7DvEd/iqCFhA3EAcGxwD7LaOFeFa9gdddN5ryxVTtmzE36MIa3SNOrKtCte5S
yjdOPeu20e/gYUECaYNN1kavyBSflDAtb4Mu6T0Rhu02E91RxCoqfc2bNGIxKPG2eWtYT47u3JVz
6tJJOXRGu48MHQDntBelc0WKz7Fm2ybc/pjoADEAWsE/WEN9eMrK2otSfz/gW4vTEeqwyN5mdRLr
dAheqtGpn/SFcaI3RvAPV/XHfsuvF3VBP313URns5nhG7PFij6/h/D7Z32KE/3br+KfX/2njUJWU
GjlIpktk35UxXX7j4R9uCz7gf5Xgv/wB8qf7D9s6Fjc6uRehX0cwu7hMajitf/8my1X49U1Q0lCS
agJp+49XabSaIWxM/go6/TCR2yGjJnkA0f0P34b+4z2O+gakAUg/ja0WhD+V6Y9vNMURI/G5hAyy
0j6xqbn36YaASq9fReunVb562st1f3q/JZLpcfTeUm9654ludv9E/NKXPtvPf/H3G/5PBaDTR0AB
ApYRUrJcda164123zW5wN3oOto2NtuU6b5BwrmDNe45b9p55yT/9/rKLv/oU3z/yy+Lz3d2Z+g2U
lJrr/ow9xUNJsXGurdUVpJ/Q3T6J9Um62da5QELY5Xdidw9UdzvuWPdW87ZwVo1L68x1XIAtu3zb
XIUrRqSB+0ge14Xw963YO/viOOzqh2xz9/uPvlgdfrmA33/0ny6gojdRWsI7v4gVs7RN85lYxXvN
rdbE37ihG3nkIx+K7fWnk9ftxZoDe3yIV86BYdWazcfDcf3hrx9//6l+imP69Wn5yYwXRUVfW5JP
Fe6dVbied7hL75lCJGQvrOQKJcp6WhHbfql2+iuNNO/377/cvj/fVZJR2p/P0U+rDUuNMjXlNF7U
ufCsYTiCh7/0HTLI37/Psqr87n1+WnXsiLlzP6fThZp61Q+f1HE3yPfJ8CrQdUq5+f27/fVX/Z+/
6ufDpJKx+Isq7nD4Jpz8bsvg5v/vDX468yESSKUkaPKSiKMe0wd0LPf37/APX4y1PIjfPWhoXO2c
UKnpUvxf9t5kuW0sjbZ+lztHBvpmcCcECLaiqNaSJghJltD3zQHw9HdBWXbZqkw78v+nGVGTCqdE
igQOvmbvtasTOGK/Uh9mls+/fpHffU6fDrdWyVqE3kl3GpdvZc5crJXur1/id3/HpwusL2eAy20+
ncQwurF5ytPRnfPzr1/kN1eX9elUMoNQmhjO8TTAnKM7bLWy7lLTiAFBbZUIFTVe/JuP7i//LgO6
OBx0Dajrp5e0seYEVdz1Jz1/bxI/JeopNTe//rP+8uv54TU+3TRZ6LQS8KXxZCDTluSrPP/NVOF3
L/DpSJzJGNGSsh5OMoc2w+hUy37zMX08H39143+6jonVIHw24zqmN1gBVN8P2/SCFsHdN260Di/J
KfiTgv23Bc4n78u3I/X73W8uf/UPt47C/E/p1Ihn1AOD4YJTlXDjFRqLZ+U474bVGZU2/7Ay1rmL
Du9KWl0Tg8ZT/fxYn7U9XTvULKwJqy0qh83v3t5fPsh/PHI/XzlxQ6hFwE2nXC4PcmlFWKW+KxR3
lW5070ux2hNfe3iXX2jOmrvpIFbiN6fXQiL85Wn86XsfpNaMaujOp84bPEx280oFlXfIvGvnZB61
Te89qn6wKpjY+s2m2oBA+c0J/bu3YH167kngY/VCVN1JOoAp8phsJl8NX/GsQ/82bqt1frQ2xG6+
QydzIcNchl7y9uu766Px+sWlaX26TlIE8yD9uDQbf/TrFRkpS1W3S93bYTfudkiXV/MJWc4X2S+9
3K821hnthdevox0yhqf/QDf//rpdCuP/eT//vd2NTx+JLTnshgqOlHpNKjQIRG/0Z38+xgdl9YqQ
2E9deweGcFUeR9e6W9tUB8W626T+TQwelLX/+uMT+peVJnOSfh/xes+I+98KUgim03P+9n//j9+8
tcVfqSn5qe87e8KHTVAONnrK/2zfv2NA8f/RDyOYNGX+i6Vr/razJxzDpokASr7w4j+Elt/UlMYf
iy2QoE/W/Wx07H+0s8fE+9O1tLQtKiF+BI1aCh0MEIqfz8A0J9Fg7ALrBAZxH3b1UFx0Qp2YpuRD
hY+VkIl5A8GIjduH0bV0IlKFyw8DbJdEjyOW2DyqJy/iDnEFdtlahB7gZ1DYi5O2VDKs9E7yQnR0
zKwNv+0kMScqZuNESBqUp0x6LDHnEgn2RfSlkl51ZHLdENe0dcRINmjAqBgRTijH0glgmS1WMFSI
n5LCxwmIyjkIotg8Rxm0KKOwGWTqoDK1FfnqXekZQS4Xt6YlaX6AxEis21EJustaaqP4vkdDN5Br
Kb6kqhORpJ6W2zhKkgn1XHMhEn0veuPaCHWoU1ZxL8/Zba9DXyqj6lVd7Idm1L/kAHPcZlm7KtpL
VDAcbyQd9I+Ko3C876PYcDW0nNIgeVKOeidcXHd6xZrGnljptwVZ5VDHFjaTDZg8xQdl3KS2AFJT
QRmV4q+qY93mvf4m60m8bnM+FMPuriz2nEhx2PgLfj+sjCp9mrSQba+It/IMFLxe2O55Zt/WmaL6
ZZEWOKeWTVqibiNymYthaLxcxDstQlFg5HCfigZTQyunBQ6POkPzM+21Sr0K1D53wYHgSdTVbZlC
NldtxmvONKq7CakE0Cr5qwzQyu7b3JUCg/Gh1W7ywnlmbHgwHevQaoC5Ypt0J212blhrApqIWn8M
pK+GM/uZPO4Ifz6FDTlYDNe8qpnNLfU5PXJQvXel1KzMGFBXL+WvInJGb5iKBy7pDvHGYG1Zrqc+
l9cVlrqOjXl56oxEYpODOt2B248fggmmch1UEh4uxHAreWxASxlDu2TAeZFRPvSJyvQ77PYd32DX
9j6QH3BOBhtBU67L9Vww7x6my7E2vihtd3K6+DbpytSN5fY+D6PrCHocXrmenbop7dBbaashaq4n
K7gloOpqrpnAMhevvEkR4cqJYxgYTXDug5kZZyDttFF6bWop8mS9SjeTgb5sVpwMEy54tNBoNzb2
H0/Rp3lfVkTWTyWTTWgebAILzc2HrCNQTRwxhX7Nsngf9zZp3218YSasxmLZOkwlwVSyk7GqgcKr
cAN4upI8N3Il/MnpLp1GfxikSHbxtA+rZMpNN+q193wiUgVX+3U/V26HfmPmk2EVM84rvYAy1qXD
nSrmYivpXJ3BosZss/gtm9R501vWgyGMGxVo/m4oYa9kjbpD4c3G0rbZzUnYFgm9dOVc131RJ5dx
aBJ9nl7n2XAKI65tEVkgUxLIiLlzVsOCdUGGFFhUgiiEBthGXZi3QqkHXJrye6DqT5ACXrE17bAN
IdELO2Qgkvqmt9J9m1iOm+f5fS46da06/c00dcomNvPHctIPhlROkGegs7b63tJH80pL7MoCAyyz
ZI7qF00U5NIaLBmXWN7eqC9MaQHXpAijh/ml0dTHmtSjrSMDea0c6zz3A5iYLsId2oAfwSYO2S2a
Xkn2bHey1d1EBcsyu5Kz7SSX06q30oSzVntiuX3T5cTXiMjGrNoHwmt6dqtJVcFLiGW6b+JAiRF4
G+YJTIiBKDRRB2+A0rZN08JxB/giK2oFEJEyYmty6F7JcqCWbUlKlwNhnOLRoHppazY/khp5mlpf
iwLt4WRjU1bwkqRxMfI9xdDNtMmLDQB8UxJVF7kldlMePDGjpiaTCABSF1vJqHG1Vk3yaloFAuog
mddGEfihrk0sZ5p6V1a6n+JpZp1hZr5to9nmPJw3RVI/NbbhF41EhliwKVHbXuFXgo5Xxg75qUJe
kVnh+KNUMO4gl/rKLFQIbrWyq0PtmFgxRuw8sTdI3MlbxtXmBsM07aO+/wreDkRi1Wl7tYJAaWA7
gSgbFtuoKOa7WeR8N2KSfAPL+UpCl7sKVdyWRjfstBzCsqLYbPGN4RBmzj5w5oMUzzlbE6TJQTpf
NfmSCIUjR7LM49wi0o56DN5Id8+oaW4LFUrEIgPzKw0JZR9JDauK7pWlIDGHNACb0SYxZVJYyxCv
ixsui85drJ6LYJa9tIyHTVXNB8DcRwKaPeDC56EBE6oltQyjGqV8bDUnx0hebTz5WRvgJbAcFOam
ZHiZZJCGa0/rwAzJOZihKMqyuFf69LlMJYw78U1KGrMrg/VfY+qDB6ZXbxnc4zCXdb/TdKjdsc6v
JAHRExkSrBjh9NDHp8Dp8Ysr8uCJugncMkgPBbuVbTIm4X0dZYQqB4/obFAdc+taGe1v3j0aGp6o
qDtVH/EbXf4aGKqzVhyyMJw8u+9Lm3CZGK2dKklXs1zJnpQBpKuwWpVlesgaKhGdZyr4Vg4wRXkb
7XZr9cHRhlC4keNpD67a8epUWiVG8SWfmhOMUlz4U066U6K7fKH7ulUORpZ/lSr7XYwov03MD0Ut
bYM2eSNtxm/7stu0VrVuK/4Vytq9nMjHOTzkbNeaHnpbmz47ffIStRy+wE3J1rN2hH4uV40duq3Z
7OdWILpO+XpyRPbggg7jzPXM4gNFuwprCW7RSjWsmzgJ+Y85wIecNLsG/Koul1gpuO02VG5PVGC7
eCz9mkpnpXXmfjYAP/VVfGnWlPaO+KJo/PJqLOFKJYcUw8lGy7tXHdBCiOHKrbAyAyvFzl3cKxoP
PELF4P8ouTfZ2okok7tGCHSGrRy7Eii9KnaOE6J7yKugfaRGYKwxFGJo8g3JgUjK1QUEJrB6ami8
2jwPfeJOsW3MJMpAgbjJh5o/zWYPGlF3wg2M11KBZbDQm52lRXsxJe9IumI/FPblpCSbct60DpHo
9qaZCk8Zj7aU3kbZAA1T13OX3KVNgtFuNVkUMtr8otnCN0X4YpvxUVd7uNuBHPFl1c8kdZPoqAqo
gMhymgO3z204sQNGen2vVKAtzRJ2J+TZrRZmW5WM1aFLvcDWqqvCbHLysovYxH+uG4qEyK8sZZeA
9LbZEzIjcAvGgkW3j+dRmq4mvp1CNmLJ0wPiSsLZErFnO+m+JKx8NaYSd5vUbGaHqVlTSr6E19Ir
Ukn4sV56OjINLxjKB1af87qwhxrpfqisM5DfWlPcCN0c/VYj5TJpviDDQllA4SUFMbN0w9lFlv5c
FeN5jB2o39Zi1Iy73KXuArmb6jVb1UFZSXgaeJwsKkCZBxs5ZSbf3/LdUZv3Dth2JzrWDQqRrNK9
sbNOQxdfotE8konnIAxInhVQXa2jHyEUUt2U1QvPFpJ1YXKmhX3XxrG+73r5DcRhsZkTGVHHYCN1
6s8gPwBmRfDRaSVW1DXCM4PiayPyrQZMCrBCOft1ax71OrtWWdIVHbZQIy/FlnP36KDWtSaDh53R
ttt+4I5OVF7QAEBJdFu7ahEhNu1srsi33VQq1a6jpE9pDd4tukxRNSbs/8Wo7YymJa/bRsbSQpIr
KjL3jOQrGcFkdCgwTqb4VIbyycCpmxXDSVcvTdp5aa69ppGYRMnll1SEuy6KHzuru6ucEuwVm0m7
2YymtawdXere01SrT3GlbJnGcTLm4W6erHkHSfKJN3gXLap8i1pwHXVVfOBUeNKZDH/J5wGZV50c
RpCwsJqT0p3y+UIM8GVrU3moBpmgnPRKiOI5rWy4KS3axcl5zIzyGGvRl1xgX/q3of/Q4i/Lnr9v
6JdYy9VbUzw3X+O/auyXn/7e2Ot/KNrSfxOeoX1EUX6nbCkwemS8+rqMWP9Pnf63xt7gX1DKsSG0
TM20ljigb429hu1SXghchql94Ln+CWYLIfinxt5UCCU3TDaS5A6p2uecOAeTZMV8ITpJZORi9c07
RLyTtjOHqX4CvTOhsKg7ApLMCdAbiHFsfEgN6ja5m5I0WTuzOcinolF1r4CtO+IwtOThahQ2gpUe
B0IDh2+s516FFjwkKjc49fzyAPhgB6aWUs87fJxEZG06PFLRjd0Rz9EA7cYtJ1mcEyRcJrc5R+md
3oWJCktAnm7gKCM6Vonm9KsKV3vZZQRCRehGMqO37gtl4Ik8Jd1wX+XoZ6CkVJBTdZjZ5JS0deGS
UYC9PR2qR43A4UfJqIwtKjMaXmXIgkuA5qGNURCcLrWa3VMQzHno2rEZuE6p7opQzt1cS/oLWbLy
k2UWwzVw+GhN8a3qRGMUgIjocGkiaxsYeD7OMFmdcl4NTY8fx7JjpEIJw+VrcjVojuYuj7cZjfVr
rkqaFzFOaAt3kmsDJVxP3VYFK13r03JnD1q3MRq+EPzRozQ8dhinlHU6oDfRE6WPinXiRMFsrmd1
mJfHodDm2dk6IbCJ9VQ14caSu/mqbYbkSXOK9sqxWstPMlMB8djq0W2+iI60thLnUuLTPBdSOMjr
sJUpKMKg7GuyFeg0Lu1YTR7TrFVvMduTHcY0JcWmWMhxtpU1jumVZFPd7wATJ+M+t2JdvJnCDt+I
ErQ2/eJvz+KorFcY7GjgpXZa5VJjeakdtw+kS1QNIxh0qObc/Xty/UkekTkq/v7k2mRvRfG/7qHl
h74dWKoCJAQAmU7iD1ixn1Ib1D+QLej8TzGQjC7H3LcDCzO4LHPGfTN280/fDixos/hw+DfVQZWz
8Mv+ARcQpOunA8tA04tBnN9JRoS+/LqftjHF1Frq2NsOeHSImhScc7VpPkJmNKmIVBQ8eRs8YZRs
rrSPSJp8SaeZ0SyZiXNsCiel0E1fUtyNE23OoKIDmnQdO1ulZeMSyDPvihEpfD84VwzY3snFjl2r
sSnkVRDVKimEcNwNgIOEWduEWo+VtJXi7AVnkIYqrDyGibhKlxxss2s8JlVbSwaxzaCOuHfhkqUu
YcJDnKA4J5XeLVZJ18ZQkvnIrbeTMpBcLSkvSa6sxnowdo1tPVSEdM+NeKWSuyAiKEOfGxTmo4Nc
sINZvcJp/NZMtpcuqd+JAySeYJT6csaRSXoeubqDsq0JCx+W1HDRkR+ealKzrpZMcZm0hnVfIFVt
y/kLs84Le4YMJgAsrpolmVxlmBnp6ibR+tBvlvRypQktkKXKs02wOcb4wat1/BMKoec54ed9kjCv
KC9hiGMMyQPDz5ek9EIudmLJTndigrgVggg9WejDqlwy1rGPaCgB89w1CWCvCGLPjXTXQk5bEeTy
dcoHG0A7vO6mDHB0IwTSwumZkCkeFory3qnSXiGmA2/ZEXsXmfRLGvwAc4n5cC+O5ZIVD7yUuSbx
8TiG3nKpEA98n5CEn+bcvNDj1oUARfx4spfN4EYsefQkSyQtkkUH4LWkFj0FOHL7cFX9ScXG3gQi
ewxRAmetrVOrgtCObRtYDflVzoVK7s3eSstho1K1wfxPKnmtQybeRIHt3AQksSO2mRTcUnXJIHMw
Jn2DZ1jPvKwfw40ylRGwAB6vR2Ar/Re7NO2tNKfyw7+F3Echt5gD//44JLPrpcy+dv97Ii4/9/1E
xP/I7kUzNXgXuG44cb7vZnSC2Kjq2EpoukI6zfcTUVcwTbKdWbb5QBiprr6fiETcwPMm++a/G51/
cCL+LBwAb2EvPkrHViA+Yav8nBzZ9ZPAwG+IMw6dMCFGCjrP73QDH1XgD6tEKkPZYGbsUCfiGODv
/fnQBYekJUnaVmdNkKnbYtprSdGMNLXQzpHc1Nz/MFjTq7mMTfsUkQ3xwAmhple2bExuJOejulfN
ym3HclejVoYkvDaJT5hjhVHmrLnTlJ0DQ/KyUtpNrbOV6vKmkwkUnSJlPdfW9Ri322CqcxKsRr+I
EXober2XKnEp2elLNqXPUhB4fVXtkix5AOjAICKOLsOuXdtqtrMiHDfK2LwzlSHoJRZexom1iWu9
dyXyPBFkim090B33VnJn2dtaa13+vIfQlHcyaNcV1ci+Hou3rIX5Gow6JIj8LcD0iFK4QlQto+qs
28YnMOwYdJbw7GJxgIsF2WzJL4snDuZ0zli+uB2UcB+o6l0zcnercfclzRGWRJN4bU19P+lN4ddJ
dVFEo8DdZmmeEVNJBmVz08TQpiy97NbhpF2Q7gJ5pNWuMkFo2jz0D1Ki+bOAXcTzO8fN0r0nVs3c
OFZL2JrluSj1gyUaHds7zscsrZOtKeNqYOoZumPSF+u4okZXBlDlejV/UfKSvQ8rn7KXrg0SDDA9
Zbcid0Dm2emjVDf6ShXVjsI5OWWdUFy4F/uWcPaVrNQYzezwGHavqEJ8p2eqlQvV1cea2VJWfAnm
AWBQTTBFGSr7xu4brxusDR7CV8S/6BSm5tBb+qvdwm2iEn+3cxr/ULdnZPXOLVCTdx0GLrbNt7hm
vaG0KL1VGg5ltN0yzM+D2r4oSSK7zWINI/55h72EXcbQ+bG9EFE0Ul31thNrwEI4yYr+jJP/bgj7
1pWyjhyyqFm2bjfh2NVeidbMLQJ4DTqy8IEn4Lyczo6d3KgkpMFAYJjjDF9SmVlDPJnv5Ec8GUq6
IADJodXGFHYfZomLIs8aN0ziyuVcuQun+qbQjWofpZiIM8vyojIiJWUcn4YkW1wLNexGGGBsUubH
1AzIJOb5PSTFm64I0x8a+S4NMyYsUAVHyY5hOXRM3qX3TrIfJXvCxA+RHBEL+9QxgC4BeMws1XWn
Temu+kizFXqDAbDi03CIxa5vjVDg6zCxPVROlt6lsubsjHlMzqYmbuta5RlUveUQbeK0ygBzVl+V
rmahxnh93XfsAVLRHfomTr7oeudlJuDw1rwvnPW4maIpOeYlkzZJum76xFkqDWy4XpCTaDjgAJAs
0lsapyrdNsOZyzDaDTWiWkrtQidAkloMIYfVuhX35sKfPLWl9RDZxlssjzWYMYZY+qz4OQ6KIZoO
lLPPyEMOooP2ZvSPYU88CWfOdVMoa5CY16Wi7YQiXU8TIVxSeK+m+Hptg520fHBEeIZ9d55ywmTa
zgfL7wbO9JUxE+5CK/FSvODrHK5cCqrSapsOrgVJANVwskjEa+oUJw88G/a7gv02A8bEltgySZdT
19znJAWsA7V9a7vIV+vxi9S+GT1X4mBavqYnVu4GRPABmAkERWzST5K0lofJurfCYdzUdaO6SQiZ
1LCrrjqlMGrzUod6Oddra6BFdbOEc2uVlnpFa2XM2qabysa1M+oyW8vvU9xeTScehMju21p6hFyj
Xcm9MZ954NV+k9XPtarsokb7Ogb2ZT0jicuc0Cty5u9w9hSPQBDUPEkW+/mcO7d6bk8XYR7dxGH4
wp5UckWKkbdhxEWx2RFiXLAh07vosVD5FkV0i2I1ISuMyLWhfeiVcmZBouV+sARTV7y/FQZSCLFO
yhnQSxlJJX01X0qdLd2aCcumaSJQK2xKBoCN3n4JnBbGWGflW+5m26uzztPNAdOn0okNM/WSzNJy
2tCjEk+TVc4q7Ng1sjwwtiJzlC217Bl07jVt8DJW2yTDUqBKwWtcsv2eTeWWUvuhUcabkBZ8R2j8
Q7mY8vHFBKcfapHzn4/XH0kGi3Dr00OXrG6QnCa9jgXp+eeHrpn1lWqrdX8uSVEwlcvEvjV51wbd
Ap6FX7/Wz1UEZcrS6TELUgiitZCNLF3XDxq3tiUaSxWtOJPGFKT3NSxC6f7/30ssb+GHlxAZ8Uyi
z8S54sZkmLSKAO9VN/8fXsSh0WQwRI21VF0/vkgbpemYFEKctea2RtcknaRh9+uX+N+vhY/qh5f4
pEDt2D2FoBHEWbdvcliCTMyoQgrrOZl+80qLHvPnC+DnV1reyQ+fWBYNRm7C3j3XKOqUgiW7uu9z
Rr7rId/PSNx+/Yctb/zzyzkytGsmghq5wsvb+eHlmK1BOOgUQQf0oCz+JfM2jA5T/m+v8efoRWG2
+ve9xi6v3pr4OfuLXoOf+9ZrKDQUwFlkwEofExbuw2+9hmL+ocjw9DgMPpDu/NS36QsNCmwWmeKf
H7Q+YoC+TV/UP0yQeraF8ZrhzD/UgaEr++kaweUK6hVQCCNjlRGMs6QK/XiNWFHdFKNUTxejhjbJ
VyBBWheVpVXBuww4xKDU6uSOp7uGjmTeAtNIRUG5nHCCmXp6HSzESRtu07ZRBmtawKCvocwqqnSC
50ZJb9Igzc9TSupMPZuqz0idJDhdbi9K03yPKpsnLhQA7oY29lnaE+3bgufuTGFBgFaM48yGZScV
WUe5j7phcke8jG6ShM2pkhWENiwtUdykB1hIhceIc/Ibg2q2q/GmZjmJhbmjMO1G73bSh2mfGvHR
LrvgALEh9VPJYRfEcMmmtibjJE/h542OFXkaEXRuTY3nKkR7efXIE5GxMTl1uvTIZPWyMsdib0X9
rWJCJwhyNntsECs3dCbp1CTmqyh40NelpWxKI3mfk+SJNSEcLn1QcjysZC1XejLdsR0PkLNEaJA1
JgpR8taFs/pI2YtyCC2bP5hZ7VltBkCM6QHhxU7hEKwZKGtTyNJer0b5aAA12cSRSiAY0+hjY1lX
NhCWGzqhnYimW6mCSF/qxBPJdnllmcgcnKCBkk9aB+UpXdzM5J4FtGBGNaXSUYn6hWfaRAZmzxCJ
lqwR0RRMCiGFuTRRJs9NYzaXEd/doKLau5gw/iIIC5UAiVHCb3Jc25EIJLYdeKgqkxNjRxKSeivB
Zoh36pDO+2YonMsYcFm9KoljQhvFhxBcOmxV2WqS7DkoTnpUEZhhVZ1vyJRRRu/jpv1Xw7qMNX5x
ehXTXyhYl5/5fnIZf5jsoxxYm9/4Ud9PLpvgXpntEoxoS8Hc8N+Ty+K4Y8xsmVAaSIZdssW+nVwG
eTLMG2wihGGC/uO58aJ2/u/TjTAbkjK05T2QJUAemvbpYaph8QTLYnU4RszIL8ss9sYyp5e8mv7c
ksR/7kz0aJDZoOCrFsCoO1WBa6ZOBSbQKdZg1dpxPV1iVIaqQHauMBroKyO+cMrrLNI2ikV3x52h
ZzH51VKQDKonBU5ZPM2N2etnq++dpvAsuRr0w2gYosXnjv+5fbaIiJpneHUkMCAmGBuwuzTiUbNJ
2sq5iGo5gijUmKtaCP2uLgmhxIe/qvsyBUWRJowWajEc4gm1H7JTjKhZ2l8TGS5e5MIwKrCdUfgy
6M3oZ62cH2MzLWlly+CUSIbug3CMkEcqeUoSqTZdKZYa7BC4iIu0sMRJgVgHK6p6LwXiWaQTavNs
x4xMsw5lhRuhz9lFRtLdqqJGiREVxqs9Z85miDLBBCBcBdD2CKbRtWt7ljPYymhQs14edRRSTION
rkPYaMqo56Gb+mmftORpKggC2hasJ+MX7YVlVretAxmmnMLSEppVpD5pczWfo3lOyIVQe/UlpUc8
9ATa7iZGtw+a0WpAXVR0UtgdvdnO+8u+T1/5SItd7ZjKjdLGRMYlsmxf6AIRGQih6AQbIyRe0YhP
Rty2G8fJmnUyO/ZpBgwAl6qgI5lyLCcMoV8RYGRHMH/tfZ+Xvd8CVAYgG6ugvpQMUWjUpsgmA8Yq
Y21eMRCQfM6+9qzFWuWhiSgPyKqGQ9ume9RJ8xpYjO3XxjS+Cz3KtnaVh/uxjHXeW2JJF3Fgyvs8
bsmFKyc0mjj2ARtNdrGpQnSbOvzU1QjrbMQ47wT7rJHMe8YaX+DHqkeVjdwlbz/wpTTXL+BQI99q
GvlymqNxnxFFvwtjFDklVFLa7Wq6jhpbeEMr6vUU9+M6HObAb+u2Df89Wf9TFzIt/fuT9YCQ4C9q
Qn7m+8lqUcOxe2VLjwzq4/j8drISG6QQ4EVJJlOPgfb778nK8fkxFMZPRmf3k4RA52TFUiATEIDZ
GaDfP9nIfTgHfzxYsQXYZEiy3zNl3AGfnTeWUoWyEs2QQ1oLti1MVCiskM48q9adjTXYz6SJC7+u
jGitTHOiS/u8tXu0qNayPo4/NsnRx1aZFUyVM+ZIhLyG0dpb54pRmzhj7DlVWhrfIjIDc0mgK+vq
dm4pWiJW2JnBIV5MIYSlgPM6pB8H+lUsR7yqz5HffVyt9YKT2emBlINcVTorax8B8SWMZEZ4nujV
tN5s49ZXSTNQ9qQTzOVNOFPcMCUOEsZlZdhsHC1kYWchjBuHzvSaUiQbKZ3qtagDZTOkprIWqB02
cmo29zOYcwXA1WTOa63tAZRMqjOP66xHMUfVHEisk/RKQuBbzeZFP7VR6VVqad7Eptkgf7AqFHRs
PDdKFaXdDXY6wMKEYGaXI1IDdVNb/P8pbMuHWehOsqqAriZE8kaltUPNr8nrf4ufjzWR/svW7T95
Hdlfkzd/6N7Ynat0YUhzFtvVRx/2/U5V+SewlOSxguVcMle/d2/UQLZOxh2ljqWYH0ukbzUQgR2O
phHsSsfFdAYqzz/YFP0FGdOmHXNkVvgG2SD6512RpYRKljVGeanawNHUpWVRxDStxxF8oDqGCn1G
6mfatCtyZNMrp4gec8fas0L3bafbkJN3slB/JIbEapn4aCBqjBit8pjFVnmZxM39JOsPtoMe126n
aWVL3XqY0luzCS4TNCdM9EIwQmViXY2hNoerZl42opltkoCEQ0FeK6N8mqN48Mg3HtiSRsgHDWi4
hdxFpB9D0ktACCohlgiC6uYAv4YjG+UWrHNOoaWfxmnhNnHOsEduQdCMHR6QQb5jAOhZybQWKqCW
ziHJypTjBni78WrydyIK4PfWDvzlfgB4Lo9iSd5LXp3YsddTUIJ3JKhkRYbZDoNHsCN6ycSMMK5L
NucbRLrZwTAkcQziCBDvQFih3iR3cU09xSoBjgKMSx6qLtp4ALkzT12zv23iGr5cWt+ZVnhZESsC
c0Qc9TGuCWoK+lVQFb1XSAzMhC7XrtPwmaZ1f1FVCeXfVGY+6MBlYbw3CvU+T4ZrJyFwN0DXCjhJ
2VpaDSkrjb8OinYRFvNpVvOBFZeurfqkecg6yQ36Esh9XB2JfOYEkcnJgApB3NPYkVsfANUsE439
UKJ5mWruks68SoMJhTHTQk+dw3XNzNcXUvlaq7ScqtyeVFLS9VraEPNyJHjlUsn6g6bNREXo7aEe
uGaCvj3XMaBhElcUl4l2v9YXyCgBpW2CN6zWLiwjSn0EU5JL5ke5JcDMA2e0aRLpnI5lezGn7BuM
Jm5cUOTXqqleONDK1s2EL1zPicpW04IxBFXnKtPZAiapbK0yss/bsEWuNEY+G5SLUA+epnpA0En+
OM2k6RmdfK/X9VOi1YDCMkQDNQe9HYdXoVCOyggYKxxPdet8bUxReTmRIQSLmLuwjhXmw8ax69vL
GAiVdFWWVja/TWOWbi2cOU5a3adLt0sde8DNoF8UUNj2Sec8lql83RkNESCT29TFqppDPyxMr2pJ
yeoICJbVQ5lFp7gs92PSnni2nQcioDzQXP0mC3qxMwPjfTYlUrMSoembuAdkhO1mmG9Uc74I64an
CHtPPyRndyU0k9dFapA1G2HN7YIV3YpZOzfGYysxcsl7565wlBUQxEOj4kfIO4PJgLYKqbb7Wd0G
QyyASvdXHHZsOTuPWSwMwRhDX1AHZ63tjggiYVzb3aHs42tLsdxgCm/mCsqn2fQoSkYUMmrTcaOg
Qtk4oaL5IPliX8P4DhQu3NZQcJkERPaaOncxj3HlFBUg/ILt+op9w9kepQdLL97LRv6a22rqElB2
Pxfw3JRUQz2DVtnQWMvJS0oLquoXe8ltcQhwiUeSXCZZPudLtkuPQeTy/7F3HtttI23XvZX/BuBV
iAUMfxLMpKIlW55gSbKEVMgZV/9tuJe7bXd4V8970hM3RZECCk84Zx+yQN+oLEiiIQCmW5JgMme8
I1MY0C0hMXBbt5UlPk+Ex7iEyHjLVpLFNnMLi4SZsQs/5UvmDAOvbelOOww2vijrG49wGuEk23lJ
q7GJrUmW/Bq6r32xJNow53hwu8DnncFsEganC9Jv8Jk1/lyRiFMu2TiVZlxGboMbSWyOPTX7ccnR
yZdEHakMeO0JbuMlbccmdofPGkM0b0gzjqvnaMnmaZeUHoe4HqSG76H3GhPi07TmXbqk+hjcgtil
aCQI/MlaYyuWBKBgyQIql1SgfiYfCKT3jjhliXKJ7KCJEKGYH+cuqUK2HR4VMUNRwq4b9Gp/spYM
Iv6gpBEBrxtzgEkZ5jnMdbrfuShyxiXDyK2J40N2HmgI/sxT5EHpx3L3RTRzfOA4xrZIHFJojVst
qu4NcpKcJTApjJxuQ4k2L9Of19SIWN+AKKttPIl9VTEXAzYI9vm+I4uJyWGy1sxq17E3t9Pyalhi
m0rym8J2vBNTsQF7OW0pvU8FSU8acGoAt1O3HUiBSr1uXDXMxvA8JptZoVP4r576Vk8Z7Bb+vuW5
ei6f/9zyLK/53vIYBjkxtDWWlIt0cHH7/1BIkZCNbFqw5LF+KqTcD4ipmfDgiGaU+60b+l5IuR90
GwkiUyZaJcbY/6qQIpH1l2ESumxpElaDFA1jNNPwn8fgddVklt0b83W5JCXoRossjVMFGd70oCfV
LojcVwuroR+U3Yvogi+xg8iCYcepsQO12I4ePOCAiGMu9ozKxW4z4ivwZYoQu06stlPg3ggVEmqg
d8amGsQuHb3LYNrnIit2bujtcaFSUqGHcx0CfesQiQpTcFiGTCBaU3/TnPzEwoAyobfCi3SwAWsl
CgS3IprKwOpYUbZArjsIe4BZaLiPsjRvGkNd2xhWV12dI5k0e/WYOhMMY47TyfZueR7ch0OK14II
qMlOoJGrAthuaxGzGSaXee5K0u94H/yRu1mrwzWiwbXm6PtMS0mDIXDQJ/8x2rReLFrOnRIIJvFr
RsmeoINT6sM5X8fK3nqVegkBOS850KuyJ9OlQte3LqxkN3JKb6VgjDcQgZXnmzFsIXYCLawtpR+M
qTiZAmerjq0t4JBduzWD/SCV5yEtirU3OPeVHhN66tbtWsvJqQqxtF4D4TnkQwdebvacld3Y6kA5
DWfPJMc2b8G+B1+a0P2YaK59iDVzb00BdmuBKMYamV47md/YsHZJzQH1aFnEsoKRZbEgPk4uwzw5
2gfyS0ffCss7XVf7kVHqOsKHi+UOamURN8HBGXogzwIdNTS1bZw33YZ6eCJbSFkrO0xfaz3P132l
92t4m8adV0FGnO10E9kYwQCwRr7W6vAmB8GuAm9tdkEzkpO3qtn70IVmN6CYOpQIHEZJ/klvUQw6
hkx2bUEG0r6Gthfcu4OLntKJvuL6KzdkrHnHueSk1VV9qKvwYyMcwGCtsbc0wpPIBdlQiNibHi2P
2+cFFr/6wuDuvRg5d615OImx/1w2k1w5M456g7I0Nj28bEH5uW9cwRpnPnc54Xn4Cde1m9zOrdvD
rAp37WBf8iWUJtAeERhBqRzmPUYCfuvQupYE5HSuvrVjBoAQ3IqVlza7RBpn5RCxAT4SV01w3Yv0
gZoPo7sdHEKjsndkZzJq0MmbrRNQzXGUP3sivRBrvB5VGG0YJ19y5e1buy/Wg+R5F8QPhTbBnNEg
siWG+GrG5WOfur4WqmlVMyR57mt7wzPkqUfhsBpa92Ki4F2TjJjeIqb50pYUfjAUqbhOk13CObRO
IYUgNbZNoGBhXOBh7pTAU09ey8kcQdDXCHox3d7BQl/q9OmLIT+m2saa3FMZx1uvTxoIrJTBeal9
jHu2Mm2qbl2YnmujqJ9Krb1LnC5Y5xpjUptQUsdsfXOABRonG01z9hgQixVuiwpbdOOt6xT0R+Rd
pOcdZJ9exxk6KQx5NfKAUy8RpabZ/MVz0FC1DEDRo+JQINdUS0IyQ6tzN8wHAgdfKAfFKtDhF2SD
tyrj5L5V9otXR5XfjUyQ80o+hhrVn54F3MQwTNHytBuQ/3iqvCWCqckh3/+mqfhvfbOAkv7+iXt+
Tt/+/MRdXvPDE9e0SAS1dBeBvTCZavz+xDU/MHQ0UH2yQGFLyz99Xzx7S0CpIaQh+UfB4vqP9Y37
gVhMnrQQrZhtLNiSfzG6+IsAcunY4MlZITFUFcSU/PzEZeXKOKvK7eu0V+FJC7MquB/HNAdhZ8Tp
blhOsWk5z4CC+oTlqINVIwlc6Pj7NEDFmC0n4fDtUEwUcdNjR2iwJW2UnfhpXZvn58AAY5WS9KB5
iX2Rc1AxGhRAh0PKULgR3uy+2UmPJGkCXhIE1oxYnTTFfBxOSa62mtsTF2Ek3V3bN2wsR+eLGj2O
pSQiTwL/qhLFfkbKNhjhXaXT2gtnmv3GQHeXZ/W+nfUrr/HeYJncxqZ7PVfuAWXQPTiMnVY0n7XQ
LU95UJyqyDvUkRUfyAOhiceWpEX3mWE/hPFidXJRqFr4m1hthE+sFg6mW24SETxhu3+G161jvSRH
OG37YQfghN/Zkgwe0DDWNdZXeoxTtXRNaW0g7ldXFVZTuqfwUmXWcx211y0xYO1CX/VIWJ2LgU4w
KPH3pHKdFe3e9lwytanPdQOtP+3YJsWrSnmh+6acjnOgfXbr6HYarGAdtcmhC+nUK54AG4/BQuEu
SAQ9gC0zFHvWSU8po12WJkDFzXrehpOa12EZvZKPDMywJC8216cdkXlHCGfmjj7wKi+JlhxaBYax
rh/LILI2Zv3eOZPYO6njbejC2ePb9PVSf9fGBiuo511XqqtWhBPweJXVR7d24bF4ak/M3a0Km73X
13TUPA2StpRrO8zBeotw+jLl89ENra+SVdMSoOARbzc/WXV5hAnzZRTzbYVYra/1p6EEE1C30bvM
LJAcQ0r8VJNcZXLap83oYarX4ct1A251piFkYbDWLsNtYnSvU4S/mrXmljP5daIsLvCSL6FnsdO8
9Mh6ziwTWbNni22gRcKt/GExE/D54aNMi8OAGGjcBj22GTibroSUknEa+MKQCDMrJm2rdPnGZxwO
qzho/RTG0dbTMMsTeUpARV5G0X7qxfXMzXA7uYncpZpLYhUbN8LnjaNpJuYaO/nKrHjNHJfadRKG
JnWPKDYmVxu2vgoYeqpPuCDMeDygUrVXJCrER9cdZ5YF9rDB1t8i+4Z8Ivp+S8TDqyvCa3ANiOwM
/WKSBQ8g2rvFCBT6jUquKqdk7qR/Yic73de6lj7lOiMroyLNykQAoAc1JUzLBVk7ZoqDGnyoRcje
mFNDmGxYV4xNuW4MomlkLpBaDXDxwYxQVsIYldp0SQ0YFx76WmpQkA0K4akRNy91p+10yDcrkmAP
ucNQgzSbo8YM+KiHyiVzg74cg3vNQxsxNNyhYdOFvbOyYoZXeSShHzB23MLZB5zTzuC9deNzkmUB
0wX+36Ee3F0+MzFJUwDxRUZF02iJYNFQFbQdy983cMDbW8Gp8qKdGoarmDtqPczdMfHq22jgUwsN
EFpYnPQJkHcGPrfwcEUnc81+0oNPjCmcM6PjLwSxEWLBFmDTtM1yYLB2THzGgkIBH3NyQxx+Qyl2
sZ0+ib7edVpzP6d9v2KojDB/qDe5nl6arsZRxbAUE2S9C8py73TNe2gGkW/TrvmYPLlh0cUaJMVk
H7MmUWcv6m9yvlE0J0SyZQUdfEjOIvvkT5OTbwerPHWB+zYWBiOpIju26cAmUh93EvrJfz35t56c
tO9/rBCa5u2vFpE/dOVEvnqeIxzToPf9xRqof2BPwYKCrQdx5T8sIjHCUFIscDOBVQahOOXD967c
+4Dv2eEnUigAjf136w0kIb925TYrErDhVCSWYMvyS43Qd96olYUzXGN4beQm6oMEpbeESxBOcQQw
ITi1c0pe1kTCRfqodzqeN/ancXsoZ6jiY08rfW4QFM+bZDTamSzSMseeOuSmY7+OiMzQiJV1MG/a
sOaIQ46xH0n78d49kent/dQ0OEDaWFqBH0x4bn1VFgOdEkIQdn2VExoz2U7pwHxtJm4DjWVHR7zJ
jLCeN2yHsPwtiAlEAam+60RKAmXdh5b9oHQtcrbkKh7Yl3Lg5I7V7kutn/ajOXXJ+2C64zZMkFZs
wjBBkkrOrdhH4GuOWuCqlxi3oO8xwdZWUzn1G00hJOmJbgYyxNxCZBqOAnYhL/2SaTDPGUpxMWkR
h3No7ewpencGjZlr7r5T6VirNiMLQJb8W6klePz6DsaBLIZTFEIwcZdDNYwzg6B2/HsoEPIXIWHn
GhjmgIkh5iLnTBOAkZg161Ms9m5tUYcEwAt0d9FMzEV4LGtN3ViTilZq1L2dW+ZvqZztnalM8PBR
b+0I/Y43oiFnNw0Z0Vl2p25SgXuj8mBwlQS6ZFU1bFytoIJzzbcI5MLermmuWfKQPE9u+6YuQrkS
jvbCdCTcO7Pq1jxd3V1U1+9ygPxeGpRIkuVK4w81iZKqNeSuKLLm6Nki8Q0tShgIgygKC6c4pkO/
jrsE5o60OfLlMN16XmDvBq/IiI0gbrYYMrA8teWuhg7Ldj7X/Jqu+VnlqcGxl7AVqy16pwFSEhsE
IixLmB8d+nMm+E51i2EE1V04tLcypiKZJ73C7DRh5kDNwUZIeOOm6cmia6yx3Iy67ICvNNUmGPN0
TwOPsD1Isv1/x+a3Y9P6x8bqPm7ouYvuz83V8rrfmyvMgBapRyZkecvAv/xTc4U2g/5oaW4WHvvv
zZXFDFQQZCIARMBQAZXw+8GJg5C5IyEunmV9U/zKf9Nc6X+WcFiGS0u1yOMsh1+FceuPql5ytsgD
qp3iZqyF3Oa9NawsclGpK4Z9JGtYztME2wk4HRRkW5yEynRYSQS7Hmilis9UFc3FcckBa0yzuk86
x9oTwNhcDWlQfi3bJRdP9fE5UoBNFpZKvC49DdZYpmvjTVNnoBaTxHrShENwIflTLiFDuvLnPMiv
0rD0vtLg3LFIs69DXdeOBry33ew62UPrTvaT6mV9Pxh2d2mbSB6IReHMlp0GDs2eikcyelo0I43x
Rlia+mwLle+h5MFCK4Pmuaex3UQ8BDaIKYadTAZMZ1Ff3g5JjlIDig6rqNLvB93qryONQO7Xogkj
66QD3prGLWA/QH5z22lvlL5JdBVZSxtRBU1ek15dUqxSqET3UeIRKjJ0+BDnlmXPcIXctXCY+FrR
aEEKGlyZr1RfDppvG6GKT46Wa9Mq7tT0goqwgp02eExFg/HJGZT5jIXCpkkYqY9YidjHifbmvh2K
+XnZ/rNlN2JBTAqnexxyegZlH74gPoghF83zc9BE85sTj59rrdrmYXzUlhToTHewh9t1ucdZGYJk
0rtpl6JHOxGeNJ3TYixZkBJXS1JbgQMqHsKYlJ/WpH/rM8a0afXJkrE6YKV5MNMq4hlVTatIDD00
ypp0paRx7l0imQ6t1noPpaicq9GDUJah2qWobu3iY4A68a3plfeiyUE7mgqORDlm+F90za9bjE+9
pjXjBkdJ1eJoi8t3SXt8mMogv0MN3xxsHHhfwlmX/uzJ5GEMUsJ+Eiu5wL9OnghdZKI3y+ncpHPx
NHejduLiZVItc3iaYR18Bjg3PORJTcJvMcb3WjyWN1GPay+H2kL5allMAZrG0je0e0ytmtFucPpP
TNLJk3b2Rm+8MSJbWco8ynEwQUDVtB2icPQ30EjgjGBBrryyIc2ZtmX131n87SxeplJ/P+S6i/s3
MJVf3/58GC8v/H4YLxYLRDiGtYjV8VX9cRYD5HEkqyUcULwd86zfz2LT+iC4N6hsWfngtWCa9XsR
i/mCA8mFSfFNS8cJ/i8GXR5v/5NMGaqGg+GLeZnjGCae85+P4sjIe7vvTONSF1VVyrOmvqnnPRaZ
GcmVVpJC3TLM1I+cQO+4Aclt16dJl+xkY5sVhlDXXYGCfshG7WDbuXnpUm3yB6PJT1ngZfcEow/X
JFeWZ2zUxWsbtsPRyIb0HjdpfbKKxMvX7SjfyLRig2G5wVZPapsKCH7El2gZzlHuQWGrB3JHPbVL
DX3wZ5VTO/YO0xQznu+Mxok7mF5AGPMJd7VwPehbDv5TI2FJvUTaxWQp3GRZF3w0uIXuum/sH5HY
KSAg9Y0KxMKBCVz9Gy4IXXWIIsnqRA9KqP8NLDR9owwxzuxv61p3BzY3C4gI9A1MIofU6k1mx1Xy
oCUz1KKqT6WE0uZUhNHVC9nIXiBHKS6Sg7WAj2aDiFxk2Ku6nI4umWO+nttQVvvas089WMbnIIkd
irVowt7siSZcaVXvQPyMc9PcTfiPD8TSscMqZutu1huAs0Zv6ziHk1ciX6Nj6QTmfLGTqj2QXhT3
dzOH2naqbZh4ZGNacrhknppybfffifDtRFjydf7+RLhRz69v9Z+Pg+VV348DJLRYEwDJOM7SnS43
/e+Db8o2LAk0r+S8fFsa/zD4JijItJirebYF1oZXfW9qMTvoLJsFF8ui5iPh8l+cBwxcfjkQWDXb
OqEGqHmR0FjLSfZjbcaomWEVFwYxzD36ljb9VPTTnSx6kNReeJ3pVfIKvTDHcW5+NFvApb2pscCT
wzuE3i1Yb2s1m4hZQigvIlfuKpOh2pAJ9VKHbB5HtUg8uvyOezncCa8ICDULLm6mcj8q5UtnxvdO
P3+KWPKtDdV2qE2s9VhE2R6jE9xnFuCZjBije/l2VsY978XolbOpHjpS5LqJyCu3S9bclRdwKQ8U
ymx/0vBr0qC4r4NbYY3XEfNVrE8wnfvp1uCU2VokvOBz7W9GAyO1axrOShqY4DMyc4PQoEet1mbV
JQdhITsjWGuvR4j3mEg34Ghbd9MhBNyYKaqR9FtaYebtg9L6SFAw5aznd6a56WBZrqrajgETTIdZ
h/vZ5pELRHx+tL2vWRGQPD0ui8yj7NvPnYDhXSa4FRhe9qtuCtTK6UmWtMfprRfFodclPTrWVk9E
j6FOfqfnamuFWmhlMSFj1cfiUl7DwLlaVhVhUT8C2HrpuukkixQhMQnXpmSRrR+6IL01OKqXKfWd
yzcUxLSDWlFvB6Wuasu7c2Lxko4zYwtaBM7URRAjh4fMsJ4SF7JQKQcWcrm1LTudWmOUJx0HsabM
HJ6WeIyBCzDYSE6zGTwgyroqO6q8OiVUSak3S4u+jL32sTS78xiNd63nbOmRP3da8qrYjqxsAgjX
dUnrPKvC3RhN9S6n6V50jDbQfV/4M52HROJUIw7JeofMitGdj7M8r8ql1CTM+b6IwE8kLmvaEOxD
gqOmzosvJmAjM2vQek3js9UBoeQiZ3O7DNz7tjjDZ/sacEV6tQnLwSiWrvhI8YvbsP0KzBhVWWR+
JDVuF8Yx4XBBdUOIW4sfsB99JsegWbUp8bWoc1cTqxGO8vQxafmS5pwxiB0xzrYy4651yo1XZvCW
M2TWTZuXR4Ts4ZXRFY9j86Sqg8k990SIHLGoTCujMGWs01oPRTUt243aOwQpnr5CNuPO6tFlim6w
1l2lkwayDAJirXxHL9B6Z6QibX4bRAEC1TaD3fvQAzROeUDBrcWjHqTWPeQJlFxaaD7GVlLAke/u
BUGqqwDAwwhAwveG3gdYlzDE9nZTOTQ+ZDnXb4daHWMAUpusxwRYDuZT0dvomWZuNxVxSedD6yDH
g7sO+X+txUDEXW+8d8sRJn8UXY/R/BWx8CquQteP0aaKofM74sE3M5j8Te64EQquEIytvBothkNl
vJ6F+ym28y1choBtQ7R1WuLy0NzV5AKosbhRcbcFiduuZ605FWWDPKVvj1aUh1cqHR9SCxX8ZOo7
JjlXTVLfjFX34KXeviZZFAjd8AIq5bEoIB4IySw5wESoTB7yFTn1zhA/2nRVCDkYQ7umfjUEPZTS
wRzWaaTOYiCsANDPGgkinUtrsyaHJ29U2qY20/dprh7KRD6WVXxRtfUCPBT0cSbBfXpHpysE8dZI
Ic1qYJPWIhgQgf4ixuTONfIzfzwAo8lM3H0qH7KercesTHS/gxttKuLKnVmzfMisJJQgnitabqaJ
W0/OfM7IgHjVkxoSsbXvOAUM/Sh0eQq69pza9B8UqS0qVgcETZ+xaIkzxYQTV6xFWDvO/fZNw4qx
LbyKJM/Oi1dlCZ0x8AiYUx2BBbl+nMPgWZuyc5TOD9pkGit9nAB+V8n9VI4jxKthXzYkEMAOXSJr
q9ehIJJBWxQ0RZY/AE45RWX5Gs+yXYeGyD4i8dhrufEgF/x/UPLXUDJgA5AiAg9cjo3hILOSiajT
gRjh6VC2r55BmHCTKa61JsNFt1Ii1OpjLfQJtaYK842FfHvbBG3jfTGyppW/Jd7+JwTQMTb+fUV0
Lpr/9//z8E29NX8ui5aXfi+Lll4IIQDFD0nUpljyqL6XRbr7gbmTiziP9gTiFNOi73oA6wM0qqV9
8YDGfVv6/14WGd/8SKwBbIIoMHQ6/6Ys+lOXhHtJLDIFKYkqlmL59x9QBYkrWY/lXnLVZZvZlghg
dlb16Ycv5uY3B9OP+A3DXcZePzqbiCFdjO4gv2gXWdrxHfz4LlWAjMCe7eSqLZJY+YUr8miFBp/p
lGmkm8Rsahx4hn6WoZtD2o6StZqDU8+6/E6U0a2K3Z1hR/F5EIJdP2q0te523B56TOBiSOyPkR26
HjFy7+15Sp8RHt82k3Gp5uI01uY1VqqjSBDkZD3MuURU3lYu4/Cgg1gcG95XBksDdB8KjaRlKAMi
7j3G5oSQ3gEKWEOX89jdTqtRaoh2Oayd46DNRAIOo/TbhbeZLOTNsZuZmKVtjn3fsB6Dhc4plW1y
5xGposGL2MUijYjn7ipgqzztqEILHfiKC4t1H3oL5FP/BvzsTTLRp2ZiNbewQEeeDdGK+ZDpPs5G
5YDdMtSu1hDK7/RiAFSzLnWWRNW6s7N2CtBI4i1xK0O78PNLv4mRkC/0nkLLdy7bQR8tU83SAn9Z
DUN1byorPXb4Kt0b3q8xv9hTKJsTEsC+YO1j3hWytsebSF8O+nDyTl7tyCOEp/BpUaB+6mWEXU1N
uMXbvLMOLm7aek0ljsjMZYOEx2NovIei4NHlYNbaEGFi+UY5RmvVkW1ShcS/9obdE8/dyU3Ld35m
MNg8NwhDxglm8zS6xsqr4oMGammDwS9GM9kPd3PPjlZMauMVuneH1xTlVkIwiDt5CBvLDA9wavl9
QYZVFX9yM7s/86frfaeK5w2yeQPhCHvoUY3x0Zm7aCNZce+IQ9aZUmGEacizJ6e+anaO2e8HKwcs
NRrNLeHpOhuR7BLn6kJEADGVdXxrFfbBjTqKNUftizhP/dAUN4033Le67B/ADbnvMM7QsqS+M4zO
exF3vp01fhpU+kehdduQ2a1mFOnG07Jt6rJhHhl5kan+tWnaN5Ih36ZkeqyIy67N/uiN2ZYDBLbD
vLNGcZnc3je9ds+M5TwvzOC6fxFMdKtM26pBZ1/CKKCbXkEwsmd5DUSn+4OjTLZOIb+E3T/ZTvyi
ZsfaOE3aHFEbUC4P89nIjIMZGhen7PyhS59K/nxI3xniuXIT9M42NNw9lf3TGDSbMAuMVSWqlUk6
yUpvcoHXCXCkPrG8lvKGz3hnd1AdxngO0ZYEpAz0Ir5ElgNXPTBuW5U3FzK1T6ExcjETGaKqkfTN
gOLdzaaTx00kCP02vNofyTVxSxO7T/FJm1t8TvK+M8JbOMpnphDr3vDOWdffRh7KFqPcGEwf2O6N
K2NK6amigYTwGjlrWIurVEu/FKn+pUyzIysLzCLukQLiFhMQth0Aa0pdbCtZV6qaTrOUzGVZarkE
jFSEt4MX9r0aFUU0jqtpHo4AiadDNef5kYicr9mEe0KLkPFPIV2hPZopZVm5CxqoWfPEAPmfT96/
wIzQ8EKigUuE3outyS/nezTp1P+OgrdepQalizfBs5pSPyO85txm5uDLnrwQmlC2fPObXlbNbVWl
4qM7u2pVjONdVydnMQZ+6slPYmx3VeS852kS+mUJvC1MyMxBDbQtZq5pFcTkUtjNemCBSm2HZV+6
7R6o/ws85m4dJ82jAfpkg4fMXKPNLVYqXw/VuhkPepmipiEJnCHZzqBdVTQkTSa/Tiq7hyV4pJE7
zY06Vh0Mz7I4u43hoWmdYLhP8d4YI3vd9PHaCYDBR2ibQwYRfiOaO2vq9HUZOUcRedzXGE/hCurw
xerxIYl7a+U57BmMybi24jkHVsUgaozTS1/OVxGTqHSwdzbQMz+mUwlyGjscFxh5KNTxdm/ssDyr
kGwRmRvXsRpOqsv2PNfAC5bgqIup2RZJfZ0m6o55KZKZvFe+k2vx2lyEnXV9E5tNT9AeAjdEqg/W
ZMEaGWNUtPIU91xMIxeoi2ArTaslW2WnlxmNlf6UZJOfmQ7+PGs/cA6ZTfG18ORZVKJHiK19DXQH
p6BRrZyOXpsWSj9o5XKWtedYOp8NobZCUCeS/vA0ZYa+Tpop3VhReG3OTNugAC/RWYm7J56leyyw
1J3oWuqLYvN6+OdLFT7FryWCA/+NeDaMmkDefykRENEMgBoyYk5QqpvJsTa634b5fxvjx2jqh3fg
R5rMf9A9Yv9GIuHqvwyEwaTntuuFdEVOstKc67iL93F5Vw8YvWq1jh2cSMnmnz8Vgon/8a7L5/6h
wOrKtC0tU9MuYiJ32TAWS2V+z1PxM2oEFjoQMdeta39innlgeJSu+xHcrsqHJSMmLtZ5PX8uNHmO
W0usMUptlTfoL25kST8TyYODKNgnNPwklfXkBOl41JXpdFxNebHpZplvXBZHvl4Cl5P5NB26UZov
RZ60W0SX5iaO41fFtbqphBP5nMCT3+IYWSMBue8sNSNMSx9QWhmHLIRQOrVfETHteSh9bOp66zRD
szLsZG/idEIYSYWihjzfTXMn1hVZO8y2l4F3PN4ZUQ6mJ+5B+4RYAjxwgk3/XjWDsWrK+FBb2h4Z
48dxTj5ZIj3aLZEP9QIIjgMTqEQbsybt7EM6JyeUjH4+BYZvKgG3MEg5ZcWnXkz8z0l2caNxl9fD
pg9mrmCxSdswAy9R+kWSuRgCE9evVXApcU6BG97rhTOv3XC8jxyyZka0312LT8I0W7GmM9tpZYwx
pSuenbC61CK7rXDW1+3Yrhr9yIpBQ+5h7iViOL/U9Yd8ivZjQEhTX3dXpcMzkli5AzqEN7cS3TqI
gZva1i4srbMc/ldS5Tff8R+F9p+v8aUQ/+FqGyxKDANW9SU55zfhlbatTtUjG96DvXfOLo+e9asx
rBDVXfIvw/+Id0Vk9Fc3GM4g3YEqBMjg5zfHWu/mKezmC6vNVX421uUW25d+0j7JrdiIh2ttff7U
b5DZ98/8R11NZ7E6xtvgiq3n/0pz/bmx+e2bMBkd2zC+li3Qcl/+8E1MYkCTqS9bZHEDj3wVi091
v//nu/vnM+vP7/HLRHmus06LItykRfUW1ntvuv3nn/+Xn0Gi0ZaL7gtJ1s+fIRuZcIi44uGt3VQe
94NNzfnbCfVf+65zef59+355/vpWP/9F586rfu/cvQ9cQGw4YU57i2r+j86dXQf4Nnp3OjbWEw7/
9L1zlx+wtHkg9XnUmAse5I+FhvOBEBIoIrzA1GmD/9VCg2n+T/cbUaIuriY40ibSFph1yy/x4yWO
Q2lqsJyG1ywjaWfJ22obaGOKCC6zVZ/KVGPb33r+TEiXXNK68izk0d3tBTFeFoOq9eDZnIwD0Dip
TiPkuNXsJdCSe9R8xIEt5/WqXRLCWGI8iiUzLIg9b2PF5avelRDzXZKKcaX1ev/kEDimEzxmLwlk
cRh9cTzlazQPjzzKxT6neguzIVjLwO59fu1i2xFqVsQ4k0PdeMKvmvvVknxGAhP6MM2xtuSkvvdD
8waXhPCSJTHNLbDr02XdF2kE+CB/nglXw0oEPHjJWytsOroUr5q9ZLF1ZB6B3Y0mrKfFi0tgGxKc
qwydEBsVPmJXk+rWlPoNo3w/UeEFPcEpWfLfWNPC8I+NGztJbkRuMrGNVbseltw4RXWxAx3Sw8Qf
Xgkwg9ykd/EqjVwkY5HNUFYkH9m+3JAjhrtfANBrTIVjLvPuG6Lrsky/bfKhJieEOEiNeLuImLuo
HU9lEYm1HCKw4EThhXqZ0KGhKXaWnLyiswm0ihvXJxF2fiA7FfsvOhwwwTJBxk/aHmCZZIum5Cty
xukY9hFEgFyg7V5y+kyMaJuS6D6nIsLPcksGi0FwOy35fhEU6O0U8jT1FMPQcMkBzJdEwMIBPrBQ
gmNJEVt9meCr7JqQ8bAqI5rTUJJQRcQgYP0KIgwqSof4wTasQCNLEgmpi19bLyICcUkrBFqVbdSS
YDgSZagkXvuwLi9xWhJ4FYKghba1TWJ8fWLuN3Ggw7xY0hENo7qj8Yt8iRXET5YMRbeT9pVYchVr
vE3rsJtfu1qAV2g6yvMlhzFZEhm7JZsxTkhpnCf3glnA893ReavLHsCBp18xsM/XZsulTE83+mGP
Y7QMmUvpmnOfEwrZL+mQMT3UqnGl2rfNCIA5HO61JU0yoOuDAMEuJgsW4WSOB2BJn6w8efN/7J3H
ctzYtm1/5cXr4wS8abxOIi0zyUx600FQIgXvN+zX37GpUyWSpZKibrxmdU5UHIpEImH22mvNOWag
Yr6ozczcKrn16CX6F3Y7G0dmV+pje67kCqmHiss8i4DLOaq/TJ45cfEdYAlF69mX+D6EeabN9NQo
0C12rGPDpN0YiPmM7seQZ15P3ZLmSUcsOTbOiZnlyRnyx6GoWgLWYiSwLVPG2pruRvbb7IwQlo8M
ctyBhnRZioncspIohG7YoINa0SLC2wAIYqFFob1vasSStctAkkywm7kMjo1dHbrRa5ddWXyLRX2t
G9Gu0N1974JMFEzA5mijs3GOlOhcTfCilBMiTGRcaEgb8wrVTr/U+LvretT2rkHXh83gDhy4vqL3
9jh44bYdzD2C1m+2cNZtCsy9JK+3DPLpDMvgsy6LvFqTptuRcKN46u2zmDa9O4YjucUAAcR9EdZ9
uR6jypxhqDfltYFW7I6t7EBnQielzFbbvtkasWs9hWlpnYm2ysJTFmahuxO1Yj4Foa0H54mFHSr3
UrHsvOBeozOxskadWyNg6htwv2zNkgy1IUHsP3DfrSy6/th91cfO7LYzdM0FbcJtRDwTQEfGWkMc
EkVaBpfuPB/HomNik88zg6j8lNkhZTbU0lVexbye0kzH35B8CxvnsgHpslUGaz3FbbUF0J/5DtQB
ejz0E/q72iLUjad44waAkjyGqLU6nzwz3nfpZPmMLZ61kfd4KSVZ5D5rA8FNQgStpELE3GvBcUpV
3Z8EQQQK6NpFgbo53RUy2K81imcm5NHK0An9c0j/i9Pki04aYJmMX0bSAYsaCcdMXmBgEhxIPy7F
55HeqOMBN/AyT7cuBppiBqOBp7Z3kR0SQ9iTR2iTSwjylw01kxOHxEKNgm2hyRDDTMYZOvlwncuA
w0hGHTYy9LCQ8YfEx+aYRmMwUqCmJjISjV7V/HxAp4si5SpOLNTijXMIqvpUyohFMH90m3EO1ZF+
YcoYRiskfLRpgOc7Bbbs8lSS2Khg7vVL1b5P3P5rwmRoM4zZfpAxj+zJ9gEQf6t25UzuOMlASJ1k
yEpGRHZJtY49dVe1LkG4eIdJmgx9Wyk1SDfaoYBO5zPkRcADvoHWlOPhAQe88Wr3HlNoGVJpAPdI
ZGwl1i+bfziuGxItTUG0ZRcDy4lJuyRTgvcznrO0JxxYia/J03muO2eno2JOERX2xGamcp6uIlBo
ZKKmQ7RmroWviedtLSI3S4WfBoRwip44PkI5cz3avJVR/9aTMqn97+tJmWR3/ixef8L2lL/4R0kp
cQwEjCCRcd5Uc/zoj2EQP7J0jVLT8QzmRSrtiXclpYpuxaUEZVgjHaB/DoMcUMYOXQc6G54GyeEf
DYM+7mcoKClXCYPSASbjVdNVWXC+2zO13dCxaZ+Go1qemtDE3eEs330pPxkF8Unf92AspEY2lbRK
8QyPwjLlFvLdEfB9pEYHufPYmslZ7Nwp6tGzLltzqwWnob9otd/0X5Bd/+aI8hO9O6I+0qqbtaw7
JsgyyJkOhUw3LqHnlmHZXg5N6Z71Agu5nTJfb+21nQChQxscWAgIBOFM4IOegNPoO95YcgwACkdr
iZI13OhgQckpJC6ngpvTK+k3jDMPBTydUoJ1HBALC2SwUoABdseQAJ5GonhyCeUxofO0EtNjWY6x
Dqu43ATTWPixxPmgFTfId1WbBerBa2Vw/Qr2j9v3e4J1SCCJmWFAB4KFxTsjQHpRQw4yJ7pL9nAZ
wIUgGsHYMlo69QzYgYDsClUWqVCISkQunaHcNhJP1BdPPbSiEWpRj5kenF+7odW0MSv3jKiFcRHZ
5YCtDugR1c552TnztSNIGWQzSqzedUk7eGvXFQAAHMQ1Fbe4nCuT/6PLm7E8ZqF5EAzeL4p8Jhaw
FfMy74z6C7jrg20P51SEh8qJd2M6nDdecKGo6cU02/daBjhCRtbxxoNmpMdfTUt9ybCfrAbLPB8r
k9wXY9mn1UEEeAG7aTcZ8UllDFYE9TIep8MwjQcateVSzIyAQmvYt716T/d4RUgZYCaiqK1shKea
T+lF3BWnIhUQEIaLdE7P1JJu9Ej/hjcrftF6hJzW9imCBeZMZJrf1mIik1RRw7WeV92u6wYBPoqp
kMTaHrKptNatq+8JPUaffzQj96rtGta3CDZJFDVrerhnQRafiAu7HnrkHQqXpRwhAcU4JXPxAuEa
A6WdXOrhsPK6vGOmAKlVt5fAqy+B50c0znrfHszN0PRrFaeUsNGkaSqlXXkNWu2UBzV7vLFlE5el
/dU4RVdoXXfIyZZu5T6YaeGPjtXcVKpi+Fi2vxUoxZC2slcokIUhysIdBoa7f1UHzNmdvaxNjTxv
x9vREGbVInjIVkhYCcJTFPfnJp3A2so3o2qt2M753RjAYi23jQzCncXSapULODBLfVDISrNxvoaC
HSUCbsMM1rVn3JmsyTpPiF+nxbAorAw/7wA9pMlAQcVhtzAm5Sxt5xt449FiysRFTIGXsJkjrpjb
OsAz3Lm6jIp+Thz3vKwzRqcJnJWhJeQuaIfctwLicv9d9N5UobLB+PeL3vkzKUk/6aHwS+8WPHIw
eNvTgvsvZOjPBQ8agg5F2rbIgNA1mcrxx4Ln/sfQiW3FyojwiqXwXQ+FqFfNhGSEnsA2TRQF/0T9
ANrgw/LwtuSBHsJLZMpPwR/8uDy4CCzIbVfno5FHdzUOCT+jP09kcU3TfM7Xbm1vNCona1LozHt3
RJ7gPujI1ck9+yZxzXOjFLs8SVbEtwTt0nFyPOAxI8XbjBftqtTVy1Apmp2g+scokyXKFx3jLcZD
zeijvYP6aCQvSSU/PnOSbSvY6OVd0l2qmKpJjLavh1Q2qPuJlRIe9lgYyyqaU15J5c00KXfktdwa
9AEWqs5GRG3YVCvTMYrdM+xLyylqvzazAbGL5ylM1Ksq0U/Uwnd63yJLhW+0CIQcdTUEdgXFtwmO
JDGB2jowMYXrDSMCSx+PotGeeZTGpdUb3RIa/ks95PNSqMxtvdFdhaogl72MtHUKoRxAs2JOu2GE
OYj9fK91ztFIKWW1aD93jg9ax8E+HzEY1vt901f3keo9KqZDBFhmXKYIT4WV36Ux/OUmmW95A6/7
TqsuNF71eVV+o3Shvx5feZ1swxgsIWG+0/LpLm27vVL231RWp6WqTMALDaPDQY8UTFFSsTBACNat
QmBUZPtkdevLQKctb9G7PuoYOrH/1cxgxEAoUYnsU+ZClglKgxwT58pN09kvxkoDeel8jabwrDAg
JsB8URftiFzA1SnTjW3XNccgA/NvMFABON7UFUZTu8s3wiI4a2Fl+c4Qjd+21rkYyUswSl33o6Jf
m2rwJSUfJ81GBY0+3Y5ifA7tMl3wN/0y85hAo90dIrzvkaE8q1QAftMLNhTAlTSYF0Q+uOdojfqV
q7bdWu8i+5ANBoKxormOWvQMusjxsOshkgrHS5Zz022jnlTd1s5M9l4OoJlc2zCgFOuM+/+iQ33j
KOZOqds7VElbtdPvhh7WXRi16lK0ukYDX08OVUFcRQgJfBVZZKoEfaIsihEpMHFtAaJ+Tb2oRkO/
JEKNpkzabzyzYugTnuVpG8AY1J/p5VvQEqb4CDRs8CkgIUvBERXtgHIgztD+FV+o3tZ6Hz+UIemf
HqFRYcT1TLIpO+IdXMRj/n1L87eDw09teIpWk7cNhGdqV4mC/tRnrQz04hnL8zHLUVO+WNbyt9PP
nxzCo8UMOAY7uMrE/uNraCLvucURYR7T9kuXnqbqpvAO/65Rb2uUHLn+eo2qyvb5r8uU/L0/likM
+YaE7+BLYrUi4eDdvkz9Dxk+xvfl683l9Mcq5fzHw4kPpPi/yQrcF39YF9iWIXvFdOoapunI+cA/
sS5IIeC7bROrFLMm5teMIuBWyjvk4+2RNEqqO7MeHXMVQsV5hLvvadTUyN1ZQNtCwqUH62zuavvJ
jsyBSZRSgGUZRmV4bGanvfMis7z2vNia/cTohnJtFI64b40Ow6okRa7sCACdGSt3o87LZwxn0890
tjX6aJ9cePhdqB27nhijbHoewvlZjwKTJ+3Kbt18BUV/o2fgafWJZrWW2quxJ0ESFSojVRilLciT
sOlbP1Sn57RumAEP1NQodLD+aYD3JrQmPnD0dVb08N4Kx11YnbczwwZDxUCcXm5fmb11lce2tkwN
JCHBeDFDvVx6PetSUV9Xhv4EdddYlAFrRVEk3QJCANrk2Mt9BGzIQkwLfJdz6N32Qc8JoLGL7EBQ
HhbVlB5poLtLs3XIm2hCcC5DxYZrTq/6urqtzbk6NxrYdtTU2qKRVJ2GmMkFibuAWDKYN8JAxTYW
YXYo8KbPTvUAl7z3W02tlp3avM4Un2BPZHXfdtusTbCH5FuN1mLlOAndO883TXThTI7W9G2A1VC8
8qG0wQ9719rGBf9l9mO3KLzyrojSF3pIl65JmGOVfdXS6MYu4aQJkZiHAC4bwJjLuJKhzJYT+UCb
gkVItEGIQJU1xLyKbPsGHwXjBct5sctiT1D9VTW57HZUl3Zd4WAU7cuEPfK4L2LNF9J3apbFJosV
ZFNmN/tCw7hRF3eJ3SJnQSi+ps24sitxjW9z8JWBKgA38Nqsnf6ikxMMZ2pdLGHmTqR2focOb1w2
aXc543ZbAJe9KMgEZM+nMoyZuttmSr4E/cDgOsI3jU1o7TTuPabDBycIfZ2CJGMbvRjlx1D7K2Ui
6SGYj1ka08jW115w4mYtL8y+O2Reepon+ym2aZoXhO2tG8DQeO5SATB+2gub206zkkOpA8+W+OpI
ce8Vh/GRsEC2askY+EojwxjTC6vKj4aHv8+zT31LA19ImlHomGvoqE/kIi8jS7/NRUaIe+mcVb19
nGIc2lBt9oqH1qqvKR6D9gbszxdbGc8bu3vVg/wGafZOc+xD0qfaTo0c2xeZ1/pWyXUAM/CSaQOP
2IxRxB0z6C+FfeTkpe81esB6Q5SHmh/1QDuhL2AzlX5RlMB3pRnYiYDE5EZ+Ytfo0o+k7MxFcR/Z
bONZNvWFgp1pr2Rd5VsRoY+Bats+oOVnoA3pSkzZpdYGD2y+J7Z86Joi9EaeOx+yQpx3WsoIwnwc
7PyZavJstjjooF8mVbzMAm8XVeLYZurGNMytUZH8RGLteUdtvyhMt1hPaYHzROauaFgArOjM64Sx
j7WmuGyJ+WzPxl6TSrqCjaluzCSV1EgbE/e+y+HshmWOBapGVrauM1VsmNMgnSpK4P+jqZ/GyTxj
gK5dRDxYPtfcOhYOlYnVk6zAgGG8n+sivGogSO4xNVsbwVeAG1rJthqwIiT/lNCLkNQFddHbItoK
xcDXgpQlA/6hamslAev97zL9fZlG0fX3y/TFa//88rNFmt/6Y5F+MxhiJqFG0t8E8+8WafICELLT
VTURj0HC+bGXhKzH+us6aFKYkvPrP1Zp5vs0TiHt0POkIrb+0SL9lnv0Q3sjt5KOiYAew4nN88Gn
+LhIo1urDCuIp2NcnIwJT4ceTMOCAfztOCO6USd0eB6+FtJ8rsiS/TJVmeI7yqxRzYNQYbrDk4ov
pk29I7KD0h8V+wtQmfOs8+4w6d3SlfnWERxfS4tN7DmPWZVXC7e1ZfgASRl6fiilMaeXFp10Ni4G
tUZcjQZpUdvpnR3a89oooVxpeHx0KLmLUrce0gx85DR/gW5TQHb1tgP+IHx/pwa/UOwSxqF67nWO
k6gsx/AiwFtUDn21mHAbaW7Sse4xZMCHZEDgSxB3E9a26/ApYegMFgnOpSJS7jucTB5jOzwNFxnC
ydlEoM0yQ0hmQdd3piWV4IeqXWBfJMAtsCUjZYyPbarZ2P3q6Xom8jnuAzY5VevPNY4qKzEgVjOK
55FXEtTS1mM+o3K1yXhjzqlmZ04Ze0vMRRi4xkBidZKlK71dppTp4vZiEDoDLuuu7akqV3Nj3TGc
ZP8Xxo157TmdbBZ3b/6x0W7b+VYbBuIQWJFrVMy1UEEhJbz+iUoIEwknCjM801ilFjWMDtcGddZO
GzUbt/PQ26uuRc4Gx43+mNn7b1TEwNJuTYc2Xu6YrxWsxEzFpdaL+Wk24U3YLTdOFHS3oiie4uy1
CawzZsolyyGUhq7D28Ds306KLX0GZRWlFRlaTn/uqcyn0gkUeKTeT6Z9llc43nJreq41q7418/Yq
zM0rjbVzqAbMUeNmTJJgG1uBAXo+2BYEqPhhbewxH2kLT6mc3aRALplz907pG3dh18p68PSNGvfu
QnoL3GDYzR60DLWswLKFBbUZnjQKqE2MQ31BiCFgsmBtdDRGiXRC6trdzVl2n1n6t9LgOwOc+kBI
HqL/9BaK/mOY41WLyJQdhbtNi/mhbQjXUMtoSwqi4yOeWBWjOMtBzvt6Mj/0gqgarX4WEwQSS997
SbzU4urRjmmNBwZiu1QtiMpqshswrLeYE/tF1ZktHy3dp8zlK+njE85jzRqDRN4+bxizzhHRfQbz
30kZN+o0+XnXPVlueEUXZ+1oxZFhznGs8PLX9qwfmB1STdrFYU574hvCdVq8pGzwux6lcDsEmzIe
pMrCxMtuIRFhv+uqSKg9FPUcu32YUer6ga0/5wHjSEtNhY/MAVUnTl1EJTf2DLpuLDM4k41zQ/G/
R1f4OLvReeaNl4YOR09NGTPX3kuQq9vcc7mNnBptac4NGNxkyTyuSOGBv2lWPFDaDbfxAyD9iNdC
eSFi+7L1jBcPQPwqUYZTGQzpIm818sVDHeNDUGAxs0nmcOkJ0VYas9OUelcpJd0CNz8C6R7NJZxE
ynDb+zIG4jnN6lOgNYgfHStYtoMa+PlUe6smsfaV25qn2XA39GIijJvSPVcV2tdA+ulCjHVzWR7I
N/miYbjrpPOO/rSyEql+EZGzSgs8atdTRiVBMfdaVs686ih3KCyJ085FDTAX/cmCtD303tL3F5jN
AZ7JXmAIjDEGRhgEG+kUVAdjZ2MdHLEQYs/DVIqpsBKRurCkz3AKw2US5Z3vOub3odi/I1Odvu3f
L/nnr8VL+TUufjIylb/456qvY4XTYFPodG8Qh/OjPzvIwER0Vm7PAvxk4ob7c9WH6wSLgMXYo2PE
UFDSoP7Ym4MVQBSqgq7/h0u+Zctx5Y8lH1Gpahk6k1w5mvVIe/4kKXcgxrog55SjpmR+J9goqeb8
Ggw4oTCZ2ozZ1DWuF9I4wjzjXVk1V16TK5e60ysG3beycK5ClDwuhNfJWHat1twj3HGmr5bCVsnG
h7/QJZwSzgXASt2diVYZ+C/aBRvHZTo4SrDlKOJx1VeKt26gXhZVqn4Na0CYtT5W61LCMYcOTGcv
gZmi5N8aEqLZpXrzRP4NYE2J2JwJST4bCucsSRqDXJNmZ0W0qVvInJ3efSGfgyJYQjvpQYKjk/1F
eJ6TBHvmjrViT9BfuBL6mTdJuALURZLENDGkkXDQhvcrPNqQ+Q1B7S57c4zGwERnDCgYottT0hZs
kSaRPbK6Tteadh+bbQyjk9FcHUZLmviXySwKhqja+aTSrXDZDQ0IEVuiWGzmumjmGK25EnzqSASq
IPT1rHjDokpAKlIiddW+UVMbegTsoUCp9hWOMi6LcjQlaNWCuJqI0vBFbLLO4l5P+3K8nNmpbQqQ
6JcjzNZSwls9iXEN3oiu6TzHa3Z94ISB22fpIklgvzaSAju/AWFH4PRL1GNgYpMommEagMu6tjjs
pk8SQpu4sYtd0fQ9+xcAroGtuOexSZ7lQngBzHl+uTjX6i641LroMYssaxEV9nPY4AIZWpRCDEwe
U02Eq0BU3+gs5ADtw0MWRPnCTaZjhvLMj6b8WzRbS+T34jjlaM0oORyildzU94BIYBq3d01fO2fw
xjW/TyZAWzBP9TzfmBH/4zVIn0YLq785DWTHxV018AGE3uHHb/pBN897q1LOJrgLGiFOxsmyWiRF
DZItJnwjhni9JQuySjJxaGoP/SU32hG8nr1uaqve2yb7NqUsERxiCsBA1G3IGn2SDWmh0lxnAW7P
hpGQmawP4dSbgXsBkHqt5N6LrrQHO8kvy667ZfB93lZ4qBe6Ul1MSjztdBkCF5bzVrFo7JPAk92o
SRCQuvIqlHEfZxhtTOcwRaW3cpJoU4/TykZWxTkf3ak4WHn+RD7U3tLiQx4hyok7KzgvXHR2uV0Z
6y4Kr6NpDHd1xKwy6bdpzUVyI7b/A8N8JXGCBWK957AbeALt+Dj2Zc8oh/23IvqcxIPa1+xsR4W8
cpvmOafCGnChQYv9ZgMa60i1oJG3hgrmqz3971BnkkNTPKqSnUP+qTeM/gBYbBEJ/Bbolm7dTD3S
p7kF4OMSdeWVNjJhzz4L3PlbVWtX1tztnI5iO89XthgNX43GvaWkftL3z5FtbOymJ+EJ815iuac2
La7cUn/xoBMADjFehTddmSDTlnldnU/1TAim6VdcY4xCMKBxV+GIIp9JhYwQ5F+BKt4M8n7U0mTX
dNFpLsdj7qIVS8JdMJbEOpVEWHD4zFIv82K8mOrJ1/HOFUG3VFxq61nZ0B/aOphT8graRUuajSU9
Z2gDbLfzMwXWGljmNHJWVPPHolLdVaECtRBAt5MuPOkCSnAfbkcSN4CuHSinKB3iZyQBRHuNfs0j
Aq7VDxptyQDSDwQVd/ZaBt3VCDktcVUIFgwYhuLBQqXZzuShmhyDQY4Z6Ed0wdetsNd0KhGYjVfm
6MlqS196GZTgkuSR3Gx8L/C4AwMFoKVKFFz+bULfzxtujYjZbyN3abvwq8M22jFZ2pIj/6Bqgq6K
e23b1YMbUbkDdunyl2KqXmtVZYM3agvHiNdkYGPzn5Ypyp1InfzQiC4N4q3L3riiv/RNU8RCb1QK
HZp7qrpVvH7rtgohRdl1YpUHwV6EbubCCUjYsK1qFSiELKjdmkfxovXctWa0Z0ZATt1Yr8KKL2ws
2mVZB8WCnvXXoSsf+FOotgPGjq1Z+TxJ5GdHg0/o73NbtIzHlD3B2rtZcbA+O9Gib1KEDywSUcWW
FKU2Yy7b2eiiv8+74knAVp/YeiC4h1IK47wUzbZwrZ0KNI+oDg+vYP8wNOp92SRXpaIhQhxpMHV8
d94qLMTWERZ3p7PBp3NJ1Ne+wt/XK901KXtbdwyOQKR2hZmfwfM4j0q8OUUXr/NsOpG7jZ5vWFSD
e5k03sHQxsfKxrfZMC3UPfc2aCiUm/ZYtNYVpHB1QfjudcdsqK9Q0TYzrVorO5DmRBRsrS4G5OWN
fFHN5cOUir3eWJuqIhCCuWnCnr0dZNFToDIsbiU0S9PLvaKb0VEJmAhC3c2uoeSN/qyLswad9jyw
z4ekryjJC2Ld20TkCAExKS6odB9NLNC6mS6TEmJ8rL3YOZM4UT+kTbRTde3I+xbaa5My2m731iwN
TpmTghrRHiOrrdaekd7kjSATeUw3qaGdktRNaGAzxaTDsAYksA1S2x90JV/FID16/PsORBdfm/Rl
muGJjIoTmuNNEoxnYzG9VAp+7zZ5Fo2FIh9hMA1QJNq9g3InXDXQIH2U0WhtOh/eTbgE9r/tFfel
79ktxuom7J11rI4rJoy8f1pEquE4r8e82IMN2TfCukH6z1ojKr9oackSb6NEIA8LVFiViuzSZJKs
lbtMEeczU5G2qb6iDcK+SlBHkI3nvcl4NVdZ/t6VtKfvteB79sFfB3sWfiidxpQhHVGfbUggY9jn
xoVyVHN06OmiTK8U9Jy/PojsLH0uQzFdMUBlsykBTh87T1goVBsXi3Ic3S8NWu7ucSSczCBSL/rN
kX5W8L4/0qceVxmUkzYHHEl3wXPSIXXo3cy70r5Luqe4tP1fn9hPvz2eJgkZlOiuTyemI013g6wM
T73yJLp9HX4tsq+/PsTPzohqmWKZw4AM/HSIwIap701VdOpNYhI2HSGeWcS4P9zEKCF08T025R/M
krkQxHAxyZZymM9UQmln0CdVxKe4wK1oQCMmbDf9zTn9VfP48SDy5+80j22gCMsOOEjCAE00B7CA
37es/+vTkBfu3RFoUNH2ItXghH2D8EY/BTaKFeTXl4ah6+fb+sN39enSVOmUVn3exqdRIeTQIoTv
RK4xL7hHOGN2e9S79jdH/Mn9ZmIjQvwKRdiCyfLxtNLYzeMi0eKTU1/WcExJuHOCb78+q58dA4g7
0WsG94H22ZEfWIZiu32TnOixrXIbxhQM1ez21wf52Vdn4BxkYKwZUmn78UTKIXKcOB4Trs9jYR8i
dooJLwMvACm8N/F1DMHlr48o76lP7yBecT+O+Oli4WOGe6BN2KUQrvTtPYDA37wMtI/fnATbW5oD
+p4gO3ij2CI/nlRbmhDWRy0/JQf0VDsWz3OSTFbWZXRl+cWKZF1fWf/6rD4e8m2D/+GsPh0SI1w+
Ag1PTr2N0Zlxo+7xUii3vz7Kz787ZvsqKyeRx5+ulj2DPxS4uU9B7fk6zhhX/Oa7k9/+56uDjZG7
DX2lg3jm41dXtXqMWVBJTg5b38nVqTafYjNEEZb85lx+9o29P5Lx8UjoncqGKWZy0qzXyL20gut6
/s3r7eeHAK6tAZJFaPXpVosRpLrmHKanojhaOIxHusl6Z/9mqfvZI8TN9udRPl36tOkjQdMvPcXp
10wB6ADSzFxbJPqm4qSkm8z6zTX6y2kx2HIctEboRtA4mp9EHroXOFXukEcr+k3dPA32qp6v/uGN
9ukQ9NLev7aLPuQLjersNMzFQlOIUYeZ9r85hLS+4kvw6LN9PEQyjrmSsdM6tdlXZd6hC/jNAf5y
K3MOCG7QY2EfcPB3fzwAr05n0KTEnjov7/CvJjvJniu817cT+bcrq+vvrujyWTz/n1dWajFdPOev
/+//nr82X19ffqKW4rf+bMnSXZXpnxZAGde1HX70Z0uWQayJiIopqCOhrTw1P+RSuJ5xsaCzpVvH
w/ujJYsxGokdxhcDEizqK/OfTGJxU3ML/HjbvcmlGPcSuSRRrwh7Pt2DhqLTC6nT9KippmjIfY4r
1Y/73FQwO6YOGlIbAQ/8yKS+1Jx02UEPw8y/HXc7NUg2hXTEyhaUcO/o6gBjj/sbzTAbshezMnoI
pEnOFkA0JwpXP39z0KVYSIkL2Va6BUsEn12ZTsdRyXrqFf054Eb2icvYV3jzCnuEiYFbb8S1V0n7
XueOdziZX2wGTpVR8geMudqGo4Xs1S2xTXiXDDu+9UCZV3mS00PSsApWg0hvA9yDimmgx1EnyEej
dnRxGA45IY62NB0y9EVb2bjb3q4ALqfDluHSoymtikNJWngv7YtlWfcriolkWxk5HK3GcdGdBLgR
6+ihIx98WVhVugllivkshQ+GlEB0b2qIQQoj0JWyBa7f9BK6lE6MUkTB9LFapVJY0UqJBalz4ZUj
ZRe2FGCUUorRSlFGLOUZoYZQY0KxUUvpRiRFHIWUc9i1IzaNlHhEb2oPAuGhVKIACaQUpJCiECK9
MOZIoQhiWjQjiZSPQHo09m7VsPPLvQmGKVKzOj4zHSJUd0RbEmqgM9rqJyfVvmi1YS47DEIO8Qnn
ETM8UpLwtzO5i8jAYp45r1UrvzTJghr8cSoJh2vSV8z093WbHkoVl3XuDJsME6XvWBZeFgVGvs6N
lMdLq8quxqg4q/TmUVfSQzIwMK31/MYgfmElZMQtXkU9lC6ZEVtoJJwU6/kU6yvD6A1yzawomc8J
BSoWajqs0kqaLwCh0tWOdl0eINkL6DqMtu6u8jn8Oo+8dgO1LNls0yEtpaTJ8oqIdq/1lc4zCc5A
ViB4i3ZpROOq08TSyafbcBQjEbSFRZ+sT/wJ8O+CdL4LYQ85c0oLH2qYQ191Q+br/MtESqVotThs
oJiuSviA5aW+O5v9ZsIRslRH9cKxBiAssIHp5cATU1WxJy6B0FWL1nWctcpCzfUne9SgC0zl9eCM
NDGmgX150TqEvlK2YtWFBGxC1HWc1zwIXyDlZugjMLImE4M9CpvOQuA+9TTDVRTmXTvlq1Kj60vD
wlu73PqqZobLQm0EgYOWoJRTaAhjIU4ABp8VrShv/l0/3oQ8Bq/bv5/qSSPkunkuvsbt159M9uQv
/7mM6Ih2NNgmSGdsjWrh3TJiSF8j728bRS70SBb5H8uIx0CEtJYfv/XHZA/SJqYRS5LO/r+YIVET
YblkK4gTRZWLzLstrgVbyE2CZj7O4r52g0UHzv7dF3P6viC97w19XKbk5sLkb1C/MrrUOYTcFrw7
Amm6djVWhnZs2TI1TAozBl4WPa/flOR/3V58PI4sPN8dh75oReCzpR0thCZacxgc1v8/r/BPTgSl
1PsF969n8qlWDrW6wGfAmeijs+jNW8f7hlvf9xQiFnq845Cr+seq23bxSaBF1eLXJFqHdOTLS1EQ
g43sgvmPFZKPDKfbvOyS6yGP6AL+N1zpb/sWUu31rjT46yf9VD0asRLQk5PfhbEKpFCnuu+AxhEh
dhyYY6F3BCpACgrwQv7TtePfFPlv8ao/apPvH4BWlnTyqrRhpQj9/cUAE6WJXnWm49QnzIs1r8kO
KVnsggBOaZv0iCLvdonrnjVjiwx6uNKgFMMXx1Leq8rsk/wYLfQKzSucDfVs8ASJYVmOqNk4GwK1
xe2pJNrtaOTJxki9xCUIjYhEHEpYyndVNy30vl4zK1oimNlE87G3cRyFIJ7JuujsedOM3inXT8Gc
rIPuoUUmFkL7ColgpiHcMI7sgbfqeKLwTKBiQgqZVHAjb8oKz5TNWHuuG75EDbtPd3DUfDXg8qgf
2iRHM4Y8bCj2mjAvWWcTrBp9oZe3uZUtKmM2VqV3I0zpcLToV4zEucehuSTjEbCGm8OBSLNHATgj
z2fQpRZ+K4Yd330Sf3uLvO1QflwhqeNDwvHjwf9sCRtir00YSc9HdWNsg918EPfGxt01x3ahHcS2
9psVDBZ/Whv+WXPG6rocH5UdYY8bdWOfAzD5Dlj+2w8kH54fn+evt+ynHbUJi9bJ5S1bpruSNKJh
2ZCFvmao8OunWN76vzrOpxeeG+dzFkUcR2EZvxlfajnm/B/2zqS5baRNt3/lRu9RkZiBiNt3QXAU
SVHztEFItoR5nvHr70m5XJ+s8ufq6uhFL2pV4SjLFCUQyHzzPOfxqH+1/L/4ELznFT6/1McPwad9
qMv3VetupJ1CcqcXyUiRtceKcGhW5DeDE4TUr9/az+6A6LOgJtl9MAP5dAfMrGy0bTR3pwHvWD6/
9MrFr1/gZzfAjy/w6Wcn8shmc61pJ0SOHRDcoHjgy3/xLv7qRT7dZd3RtbDY8CJuv5+rs9a60ayn
X7+Pnz2SPr6PT7fHiWd1DVagndh/U2gBtWpdIYd2w/Hbe/mf3l0foy910RRv7f+V//KXopxq1FHt
//vxj823PwevhdzO/vAHTl/Z2l52r/V09dp0KV/67YMn/+Z/9X/+vkG+4UT1P//j+Ssz4GXUtHX0
pdV+slHm8/nHw/PP22sMnF9+/kXfl0Xv5aAOpx5y5wrbxL/3YXctxQlMdPHBSa7pj2UR5aAM9tBm
mtIPgenyj801/4csEmZRnSWTo8kw7fefwcW3zyQ/vn97M5JdeR/uEtwdDbmvpkVPhadGWs5P4OPz
qyoqrCRhHF7QGGJSWf9ewWnaJ5VuR3YDwXs/Z/KtrLMrqVDEoyVbPCeMifXaeW/3HCzZ9Dk4zZY+
S91/xrUbi9Uw5Kmy5003/pkKe6KuAkyGwQUx9SiD8jdCuXyBVWXkN5tzGnlp4/pwi4imdB6Ok4Xj
iE2fC+9QT4gK0HpGFKfZ71VxaWwqC33EYb2tgtqN6Qlv2CJXQ1qfAgxFnMTotI6tAmr4cDk5Fg4q
WUVnEjHcvP/G/6ev/c1rIUcyzY/X+v/qS5+r7leXft6+4qb+ydXP132/+oH8of0Y7DKoJh4uF8Uf
rn6E9wwWf28Y4tL8vimwfnNV/DdMthnX/+va183fCJ67HEvIEB6z3L+F+Nvyo/fjxY9eR+fad5hT
scn4jPhnZWpwAOpY55k+9+tS+MayEPajzX64sLt7jEC3yXzpT/0GJ89Kq5zLrg1u/XROPLAo3Ss5
k6/y6UjIJ1C+6ENymynQEqpex5upzl+o9qCxewh2ZRZvRZCTqe4KCMKaeveePT+55ycl78sXtc0j
zKfpsIqNyEc7F2OXop/cD+qzfOD8MtbD+wyoI5/cxxnwIy2d2hui6nmKk0s31J9rS30Y+0nzgH+O
6IAKbwoTcjNVvEemwcorK/r7SThPEcKjfV5ST6IOJp+KMr5NuvRJTPa8MzLoHZpgAfDm7VxpT32T
nbs5ZfKWfe3Wm4QW3cotGDfEw20XRo9OpGwHUdw3tRKc2Vq5dBvDy/L+XI1RSKcTJH10LtNl1VRL
2WD4tSA/FLRw25U1nLsySFVE2s4o1iCRAMdQQ9q1FLMCR7XJY6WF1YJvcQOtL6dkkvUHaWlNulqT
WAPbMPxFYTYN4zDa2fxBB1FQDlZWDNuitXv8rN1qKGLgKuuAd2teG1ZI8j9Nt1WRfq2BCpat1jD1
qMWmtubQo2PuYnLcrYhBg4Tf55swB4+KIAjTnNdLoXrMQDYK1S9inqJlIziPc+ZlAQ4xWj4gdYcb
sI1OaemeZ8hlrNhkMT7FhyEIkWjbS9tko9IawFapMNFIyYhWAECF+wPnRZqgi07tpvGoe6cNzob0
nyIXMi9DA9baz0B5O4x+7bprYJsIxUuk9HKwrcazVQ5SK/3LpMWVZ1TxVa5m8TLkN6eU+q2JUavK
0nrFFtY5VIpKR2lxLOPxqc/Gu7BpXsrKIZg9TP5ytiwUhTHtVFONYCuJ210/tcWSNMV9F/FgmNns
U1WXXfqNoXsUCG3peS7WdYA+j2zesEjYUGhRjMMN5o2AelGWJ6MOCWqKjammUF/gY2iMYbVS/Tqe
8yfaH/atOhyLWaNhtc3P0N0dRFYgJ0Gdkopy5/TOS9wEOzcMUDZqlEw5zc3QRNe4gG7BFXYiL846
3LyFZe0SEZwIwj3lTXprJRU/1Hk4GHq917vi2PVJSynneJlm/YamzIOBDSWfaXhxi50qD4YmgwdL
eBYYIG810YsyHfZDIy4ENabrbq6XftA+DDYKocaY11HdnsqOTqNpts9qV7syo3KfRD1WoKnjHWbs
AXuE5KI+BqUNzNYDulL5Cjp73RTNfZBXe2IQxy40lmEwXeUiJbzJhz5JaQgaovsgsTdmUGwzK3J2
CPw2Vj/IIvn2qOduBMWuM8wMdiDXl5nSkw8VlRd29a53xYMYCUs4Ik3RzXRXQ2geOsqzF9ju6Rub
swceslu7671yapfaOCsoV/KjnlpPs+NuBoWRpjus06h/zFELNKZ4mxvULRHjzJkcYSQ44l3Ys5Jn
VxqLN2q9hlRbO4XJvW/U9TOcQPQyWOneDboDIc3d2HbtQlFd4izhyejTvR+QrAJuOg4+KZDIzV96
isoWSp0iEHI3VeGe1zjqCSKO66wS6orpx13EdnRUjXs9URBJxNez/BWS+34p1ZFPY8CcYtirgXI/
iv6kq+q5YGMSWnSmUUf6rClYOKIyAG6symXV8ruoVXOdd0G0qZzsqdT14+RmLexRvU2KeJPk5bBs
LPUOYvGswsEThhwRNMplT4rZ04wbO+jQb88vcWpfz0wkD7lZlTsR+Fdllh8VqQTxq3RlzOaTWlob
W/MXhk4eNm6pZhjqUdsmFDNpWvCaTChX4QjEfqKLlcS6tlbpCVuLSN/YlVljkwhLstxglFYgtk3G
tn6Irqt8PkxdcOPXzTZX5gDPvHOXD9GG93wTTOl9W4X9bjQukgSUTPSkbCw6tLNxYxrFaWiDm0jM
zZKc01bBFN7ObJIb63JO1W0duPxo2EpWdb4IARbpmrxOZL+ZYAq/dGo5eVeHy1K3jk3K837FHFij
JHaoojszi1pu/pa913JmMpmT9uuwsmggB56OnJ5P53yooOQXVs1bYkq9rcdpYwe5e0GqGAcSbW2r
WYmQ+vcVJSE98V7yLy894kbDyuM1TxgYahL8y1KTc+SA045264f4EMcUl0bRu/1ZnI7Mh5TpLa8p
wuVTvEgm/Ox6TO6FAbazMkkv9UWgLQWltICOhFDUsLGVBW4kFOFZQBtZW57ySm0fYtUmoG3OtcJh
z4DybMhnyMCZAfuQGhh2OZ2SlWIzXc2qcgC/P8P8f6E5ydoY45WtzXdZ5V8FFZ3KlUZ0gPI5LXW6
FYmnB38wY8nfrWq1Qa6djJvOILirt+1LT0BPTZxHw9eP/QALTiyXKox16xNw0RvUT7SIOXb4zJ31
Tuj1lvDCSZjjqx/re+yUzN1DUMGIOGKj6A/lbO7tKDtS6KN7lp2hzYVBRGWFup5akQmg2Kr9UyzM
ZZoUVy2d38is5l0ZWAdzjLZqTelIUu4yFwt5IZIlzdeoEmP90h2y6xatTl9MlBrk+U2OSd7LlGQv
omEnhHJ0DdVjKbTRxmrXIqlSknAX2NUe9e29Zej7lIRQrfOk1R1aU8ovfjyv4iS4HH1WChM86+yH
K2pvPbNqX7PQPSh57jVcdCOtOJ2bfrF0Qc2Km++o6bqqtXhlaYQWjXha6Bkez1FcN4kCXJgrikcF
ENLVgMzgsPZ7RARSAdNRtNXG6jbrtAcQBS+N1XFtKuQCOBJjaVEtaIqpuLsnD6neceJlMvPgSM9N
2NJ0QUo5Q3xHx/1Gd+YL0dMnlLTqzTRw3haX9wX+P3BtKhmUPvrq10XvYbbqOD8i6WmKcz/Qn0bR
WiuOw1eGb29iN9q5kXCZtNKllMyv5WSet6XKOx5g8C2NiyUoBhOvsU3McCrVlT9ZzqlQi7Pc6FZU
n1gogsRlaiiHtMUQQ2feumkIMvhmiAmhAWoMJ+vRHEgLuNxpYD/Hwzg6INtDcT+a8yV1cI+aFvvY
u0j3geEyUejWCaXUgJq8a/KlW1feeih0W/SFG26DOkUxVibHkpOrJFDmk6LV+1INqqUG9L2s6uyN
o76GJWJFdpw/Tcm0VPvqOojGcpPO2W6wIb6ntjvMtXxqm8bDqPJBizm3WjLdBGudjHM1ic7J83tG
bIQ7O5ybQwnTi9RCvycPE5wNFGq6TfpITsPYyo875T8cReU8zWFD9EcnxHRQGpfqMEYHV8+Xjlru
glLcaFhe58IUslJ4E4hiKbLkUAVi09lGjXEhe+NMF7Warq0C3blJ2uIswp2b9BbrzGFcNVr7MKnV
lTtWUkRln8dqcJ6hiUhtY9oj1LmrUvfRGPUruMlib+rUq3cogtZaazzOmbtzaZPxcBblm5zU4V6p
1HWhRrgmcqPfxil5/4aMEM5oIxP69ajGGtuIulaMFfVNhhZ7iW4pK02NGAF7H3Z8v48TPh55sBX7
sIHCYkLEwLUoB+AZTzRLfBphaZEQo6blETZGkI382MzjwjWuf/0in4ZYv7+IhWaTug/JCP04okh8
Gr+UpolOYtop+VEoITqqm3a4+fXLfBoqfnsZDm84KjUJfjufZn6+EC67AMHCXXsbiltF/wt0+Cf/
PnMebEBIgfhxff5ZNe5kFaS101M+cKFtHf/5b3//nL1p/IT4QclE3I8/psCmXUs3q+zksO8wL8zf
hUP/dlT0aZ78p5/Pp981RU5qqHArPaHoxeiXYN2wmeUvxtc0Xv76rfzkpTgkJMjuGCYEnfvpV0Gg
nMK3uUhOIt7CcbdiUWKVNzwew5wW/Pq15Lf9YXYt39YPvxZ5iX84TRNqlPW2laanUvdQYVN2xEeL
e+rUr3/9Qj97Ux9//5/eVG7HLvjztxfSCctTThKueY7IR3H5F9faTz6XxBfhx2X5jq7JWuePb0o3
OYXhwZufGn3tp8/9uDL9L79+Oz+7nD+8xOfLbSZuXVDJlJ9y5zn2Hw3lv3E5S4MfQ1BAR9ikH99C
XKVmayhafoq5A+qo56f/xs2LyKiwJKWEgEJyVB9/SLmSs7631OI028+Dfd4RYxDtX9y7fvZL5yJm
jGvI4gmZdv34Gqjyy3xy5uxEMoaMHnoZ1bzs60VRLrH4/fo38pPXcgRvQ+MM3gYT/vQTC31KG10E
DadQ7qlXlA2F08quqH7faFfvL/XPyFPjMv/lyPMnDIT8mu/jTtpB+bxBf5kakbL3if73cSfnAJbJ
fZ9TYguzs8nn//u4kwgzpzQIy2ggsSEHuEf9i4Fgy06PFRUjf5+B0F15DfzrbidROtxjFpc9UhUp
hf50jTQzQG9ndtY5cxo2XcB7JVk2J6yMpTIGPYLG2e8YvyiaFaZLp/Xtgnhuhg2/i1g4E0cU6dHp
IsHOGMDJsgOvwaRoEC7rgKlWjPY0Qr0zkleAtJaY3v3Q0Y2wnEVgYEpO6Nssd41Ro2Zwe9MaYQNs
pgc8WYK1bdbMHsb8HoUjbWqUQbTSHdY0fYuBQ/QLugxQLwRKw0m2uIlz7VjnFrWbDLn8SVwhGqTr
QJX1xn5J+0a2zyv/wILubqKTiq5PWIWyzDZducM1RRYtgCOKrDjyErulzmJk2Rw55I46nyUsCsX7
zHYvVAE+lgaINLomWZSjvE24drkcMs70yUJpErKKuv6hJRO7UIN0n0XslzCLXjRFPq0Hi5Wg1bn4
EvqqZe8wj8ukJXtGg9i8mkwiVI7QVnQ6TkuaCTH8Ov1XxRj36PxxbJJu9jJf/TqOZeF1ZrOm7RSx
B+nCTE3xU2ilF9X1XWdSmxFXw6HpQJr7CHJqLvRrBc9WZXfa2k+wNCgZWo7aL3eQ96zRjeI81oqr
qhpQOZT7iIlIOAIa9vI2ZVd0cacvBn3Zizrsl61OXjxNlmloMEAtgzPDz1Z16aC3Z92xIPUdI08r
krUz2RSb6O0xw4WzpmKevkH6N9UguO8wuZEtcVHqY3deKlaAqZrqPcNtPbVq2XX28aIS9X1QEFWe
E3M/Tep1G4wra4S8jEcVcUh8FeT9ITL1ZWJH3cKy5oj6hgniAC3ltk780BMgD9Bt9sqp9NciVZut
ilMQLWtxbqp5uwl1vGF6cgu8f5fF3CHL6qSEJRFHN9Hot+A4yUljCl2yu8F2lrJZthP6o2B6v7TB
H/shvR4Tc0c1BUMLmYMNHQItUxNTTCK0cF+WZE51d6b7fBjuc44Al7HW3o/+cKcazY3RACIG9bzJ
Q/cUN6angHUYZksDA8AMZTKD19kJY6kErYjD/FVvu2v2v+TNYpWN3BTsgsYItlVbXYF4PJLifapM
tsJjNMULRCnVKu7ZXhuiu+0jBtlqQkFsYYVnilKcCdt9ztHtUS5faZ5WqNdkZ5hgGjdlIzaKXlwM
7NHB8PVruU5eOqHAaDoq50FoHJlHK56eROsxSsn022xK1Ok5C+Zxm0zBtutrg1oyx/VyBRUY9Gmx
btv8Mc7x501SLJOOs7N3xQRzoRIEFHN9iKxknbHJW/saxlIqlK0FGup12kwnVTXI7DJkLerqHLke
FfJ+eIbGNl1Z6viaRO4VJyb2wtJLOKR0pNdlnt6GHhde31PJieTE8EhpoP9rZOeoTQ+fnyII8rEE
WjDMi0RVmHSX0cQGtDA9Ax9NEozPVtjmq9bK89VouQjOqqOqGK8JyWqErakBOEOXiUmpCZVebzUl
J0ERbae5eMzf20/CamfLPpSSYhRR05DijAo1SR3iw1EzdkFLM/EsG1VULT6qVKxMVK0w9ttT60xA
1d9nabwLqWTxw+qtlR0tNAwdJkpbLKW8KWWLiz5xbiAIi9Lcy32vlm0vPbUvtux/iSmCyQuGsfZA
N0yKj9WUbTFDwJlq1A93rmyS6QqFz7Rsl8mj5HGUfTMjxTOJbKDJHNal7qixZ5/Ce214HWRbjS17
a/LJ2IdW9jhO/ERVl/Tt0Go0xhZ3NWWCnt5gIzZIiwT4oabEJtyqE/FtCrrNjae5Fm+9ysWA7+6m
ZM6HdlHVl2aKqF5lCr6uMvuip3cq0H0VpnNQKG/uz0myX/FWEV+EpzkzmM8bsu+vB+ya6WKyIR2X
oSN2XYFgCNZ33BmDea2V/kNoUxJap9FrNpD/9Y0BGRVxiW2T9Ld6TqEnicGZiH3dE5P+Z5XED9IU
sirw36+STuCiwetPjoX5qg/rJH6tGv8ae1b1PVfwxzrJ+Q0bmKmZmuWwbLbYu3xfJ+n0q1M3QbCT
vs/3wrU/1kn6b5Clki7ln5Vmcu3vUBEc/X5aJ9F6qFPo5rLph81QnU/r9spCTzzYwgf8VmnLmdPE
hVVw/b0yVmKf23QHYFmcuicjDs8if3qEA5y90o6/6D1Nq/hbBxvTJadLq0oXMVrKqlyNcRSjurTC
4g5/Kq20aHCaQB4AIthGF6xh79LrZ4Pa3de2E3691nITM1nT0xvKLDXnhGgdshCrVm1KW66X1gbd
S3WMB4KHLt0KNJo3793mSVTScx7LyvOxrt8UCjGRO3HTMSOfowsa0n1H5dklH22KHrtrHBwMS6eA
NR7d6imz/pKudQ57jjPd66o+H0K62ElNHYwi3al0tI/MkzzTqvGiqBS4F03fLbXGCA+lYW1EqVzE
yJ+uSt/Zt7IA3pJV8AGzrEPeFBSJK0OymqyYRUOpxEu76k5j25yUZESVwaHbYmJ+jixqWIUsM10c
VYCC5Cim+i3R2+soFdfCUjOTGVubXyhVMh91g8dIVVK9YYUP1L55dkshfeNnpMGxd+pF+GY36LW1
kkGvVjjMdzu0cXp2rVjmsC4d5sp2heABZGrD84rqeZw/QPXjwp9ta6mpeXjqAwS2UYmQVmct1o5K
cWUNTNVRpLIQrhe62+WLUlM5vVWOtH2te0uFlO9K47ZxaSxHgMZcPXXWIoVZx/jn0TFfk8Kwy0fT
73K0nwpD3kWOTddrJkCCDx/F/8rEjg+cDCU6eLs1hlyfpkR0ug4igYg810RYrvV00J5pgXW8AXPn
7+nyf3aJMm/57+9/189fULoQwvrJXlF+5fd7oKaiu8Jkyb4PNIVVzQ9ojEPiCTbs2//hq77fA9kr
6pYB+aXzH9qFuKl+3ys6vwlV3k2JcUFFSUnWJxLsV2QYe89P90AEmA4BRjazsOzan5J5etznDVjC
cBpTR3gGPsw1I/N4VcbSbzi2eP8S8OTRNPrHIc72ZTO6G0s4Nk3hUeT5E/3zfu6oKLGsleKY9ORM
ue1ZIlL2op2fTV+bz/HDvg5W1eDpYUtSpv613inWkU5tVFO9Xq3Lsa/OmQxT3BPeteRrBuhM+rmc
s6zVzthIviXjdDeE2ZltJKcq5eRO1bZuxArJjeHMooyq4DilGwcpcrrE1Yi4WtaqGab1GtvG7WAp
T0mvvA691JvQq+mNVM0QNMm+VhnkTCKU81ZwcyOFxGoloUuld62XKQT+YeGseqnN/rRHF7bspuIu
zIpLzQrwDUG82JPReVXX9qugRrp9DKIdfqGrqrE4X/dfZwkM5BeWytEy+aPz3LXW8xjfZxU5Hc3/
EubmTW9SSSbitymQfr9Uu3TQcAGZgOL0QXNbKC3Tng5RRpeG6Xps2XfTvFIta2u6zliCLVt7MLaN
I2JPT0Pgj7yzOc+gTC+LeGQ1VKyslNZqlkYbbJMQf2Km6BuyU/EVmIa2HBEjLuKJ5iM1ounTLNAx
1ZU8B0Qb6iWckpzNSn1V0KS4MJgPb7qR41XGqstabyOOZmNz2/nulNzlgWIHR62Zs3v2PDyuUu7W
/Pj62Rt1iJF+jIYVnd5vDcdGY9ifwpYWCz1DpHxs/bZxn2rcJl/ZUtgKm4fU3UaG6q9NDuVPtohG
r6Euzwu0iW4ZYyiO2axFtw5n4DU+tS0c2FNCmQCED41vgxFrS6XseMROzo2bDzs9w+BS+x0nTmq6
rVX1Vul8Fd33oK9Gf87Z9BF3y4ysWtgNY8kmR0VKNmlB7/VxhFy64QqwQcLsgn14Ol7kE70XTjeU
NxQYvjQMIvd2otHwE4evpRrifjEmAeygnitE/NqF4PgsU0yVTWjbbevOr7ca1MR1ZVUpWi07v0k0
AI1SjUKvN8qbwmmXbWspi1lGWYLI3I4WGcbOV4BuYFxQw02c6ruorvV69DL23Sszgolg5ulQPuhb
Z+0knke/9KpwuENhS4tGLiYk4fRnBoYLWDQayo7SpuEpiQf6e+bKX0ZOm2+YRSRfEp6A25QjfhIC
zlkyhOO2n1sqsVp3pimcPAzaIbe+HHTVP4ScjR2dfjpvSJkizGTwjc2VT2bW12sMTiMcVk6PpjOj
w1MpZkrMcV79sx5/X4/rjPF+9TzK/8/iNY9++jziK/94HlGC7FomGKTGupdx4w/PI4sEu8bjgBM/
Gej943kEqonLkYoL3Fg/wprWbzCckl22OIhg8vn3ShPsHw9qGF26mqkKeofkglwjj8zj6sNBTdNN
ptknjkIAMYu9tNj1kc81mVqcqkr0LLGnrSJhNLSelzyFXKZggGoDxNog0TXUvqSCGaaweIs9oNSC
1AuoWyWhtwj6bYCCowbzqRTVcer0HWs+51BKYM6AnPMh6AJIukwidUFLAlRCdia0HQs8jyOkxvN1
celKIG9wwDHquL4Xo/02Gta4jofyOtPiW1vNWNYmM3iygts0c6sHoyu7ZaSWlGsy9IiDkrlPoVDE
yYRCVerNkCjcWX0d0KyjinXGg7g0fRrPGLLGytIfjacy7ZXpMh56p1+jDxtw6hUyAUkiWpTsd2VU
0mXWyXLaXZcyRtnLQCVjVpuph77qZdgykalLGb90c2aLMpDZifhrS0LTl1FNmu6pvGvP0/5Wawqb
bCeRzsGlhA7V67Ut454quc9YBkBHFwoCpILKhKLfW37TnFUif4HmjGs6k8JCrCjQ5JFsZYZ2WSUB
MZjQpodlomk0RLNsE2sicCHk4/ohN4q7LLILdiRjceDpP3mK7a5yG692UO7ytKBosNlkwIWpa5+N
pv9gu4IBc6JPqIzidZcbYqd2MvzL+4ajGQEnLc7sRTrrHt/PPcVl0VkfsS9gYINMUvUVCZNmJ85U
blIJLGW02rHKt/fGO83USrCJ0DG4Sf3OO6mDc5y16VI0TOmE1VSsOcCj6lJcS8GbL8GpGT9iBUml
wHqxBLg0Y3sHTLxJehp7JHrVw2C1TnYaXYjjUcPzB6VlZPzmBxDV2OwgdON7E5zLLqgz5dHGjDVY
uABfI+BXyUi/BgSjx/4hatWtKgmxWLJilqTGZvCxsad4lv4+bT2CllmSMeNXHtNGFL/GDM77mu9N
mQKTpDJsGr25i3G2NzrQmlZTDSIptrZLjzNYWyb5tkmSbrpiXEfd8JIrzSprbupOVT2MxZcBiFwJ
KpeX8xmA8p1w4wGJGTgvUB2jShyiYHZRkzxlkrtTbAvqFxJPB8kLJZunSkqvAtdzfbVYiWwATJ3x
oLM2EM69xsOsaJRlAfCnOeaLXgqAZokCBuFpAA2s6uFAAuoulcyg0KZ1JSnCCGDQByuMs5wuJDhD
ZDcvvSQP9cE/uJJF1IES05S/BqQ4SFpxqLOdA77YS6eb5BlHSTbaknFM3nFHgIzJs94hyJDDHzoY
rOAxBpHMTfaK9I+/zUqzhQh9bIApB7dfQRlvYt15aoEts46hesHTXVc7ynx1gLvyYZJ8piaXoINh
HRzQTUetcJ9JmrOu9YcIvJMaPEyJ8J6FY1zqAKAg9ZeaJEKnuT+aPYzoCCzq57WzQ+izDcFIIye5
j7XkgMbz1karuEjpEWsBT7UyPYaAqIno7pPMuK4loZqBqhqZVNjXR04V2AzAsgaT2i1i8NZUq/YV
uCsXyVkh+dcQELbxxbqXZGzHqUimVbhooWx64NkCiJbmpb2iQ9VW1AYaYLYC3LalbzwDvx2QLbpz
chhJabTpfNlKTtfOqqMOuDuWXLIOC7AMpJdC7qcEZ6xRmbsW5LcxyrMQBFjVw7seJNgEDUbnkC5Q
Z617EyYIeDgBIlYlTTyDFfsaE1Uw41zyxg3gcVgk+wgQeQRIduWJj8bIUy0q4cVAy0YfrXMgZkj6
fQTU/M/a5NvahOf0r9cmZ8VzhTPvzwNDnS/9sDhxyZTzWNY+DwzZR5sIm9mpkjP5Vvb0r82yzjfB
MScSHo09Nkua75tl+zeD6q9v/xib8L+VJPl2tv7juSrRLmxzbJV1WVvxaayCji7DCzzVp0lh4FPi
L1KJ9ea5E++sLsxPkUGUNLTDc8usN/5smZcVmvXFHIgr3Teukrp7LZgRLsYxBBTv96Gtrnu9OySY
NJQetDRXD06uLlEQI+E3Rtom9IOg7GWhd9k5Cpe1H9iHJlTWxaRcssW4taf83hxbz/GrV8dwoJsd
GIp8l3CGFZLDwkat70wnvIOG9jgmvKSI/Lwj0AAxfj7KLa1rjXzc5o1Zq0RNglsT9lbhHa3Senhx
o/bou6Rka/1JD9JN37ZnuW+tyWvte6M698Pw3C3GNVsBeuXK8w6ETy8IdozaPf2S2xAg22UjqyTF
KVbjc1Ltq75jS9XMy1D0j27UXIRhdwyGyesLZ2NARoKkn9caChL3rYGxR50ydEDu3dnsOs8+GlQa
1+4pDt0pjbvszYYTg3mjxPEyK+eFVdbXU0PNkz9Gp8C0t4hjlmps3ZpNtp2n5ipz2pdcG9mN5eeh
Xx16K9ti1T3L6mnbVXhUg/LNjktOEDlapQlHD4wrO7Rp7MBU29o52tR0OCYdwLA6cVf0k2e9MK7c
0vJCJsQLYr+nTmkPgZYt56Df1bhLoYuvYnfcqcK/M6Sww9VXFgVNiwpK15c8eOiLypM3wMhJEWMP
FZGFqfOXRWQ92z3r0bIaN05psvEdS56IZUjb1fhCZ5MbLOqaGMCqmdxhXvmNU8fbGGvIri3qOj4Z
84yZIwag1jfI/6K1SyHRspe7d7mNL6ouXShOeZUUbXmWow/2GrntV1NVP4KC9st+wqSSjpzpuTnU
NO7V+EpTtU2i4YdmWbCNc5o60L3j1JWjhpwGL0+V44e45HS5lSOJTg4nSNmYoPXTdWRM1RK/PwNX
nTPBWY41OJtlLs6kw6lbvCMWK8OYKUjkTEAF8dsgxyOuot0ozEsKR1+yjz3Nmrk2mKfgchmWCWMK
Ruqv0Wwcnbi9V1hExMdaDmX4u4xnSqoadCY2kZzcFBz5ylFO2Td02crxDg8vcPnSeAmAGxZCDoHK
puqWSNtpq5Wli2NMKTC7997oMq+XY6REc16D0n3KJ+0W89Ur3z91XoVocLAwhNJLHuqhHEyZeRyS
QwGL70uVeXNNgiE69UyznGy4M8bprbPFWcy0i4NJDl0VMgbMwaIZyjhLq/PJH6p1JodlmhybFczP
8jJEBIcRZ6WFPRJ6gwY4DFsPQ4wuvKmyr0rhFAsyIZJxD/J1nIw7X0k3sWDV4M7941wQuoIPPkXC
fqFJ8mU0IJbqMeO6tS0GKTyj7TDdBk6tLLSKqEeZskrTtY1faA8tJP+C25RXNeYuCroGCUH0MAV0
u7iK8SXyqwz7O8O5rn1RunrZaByEjL4gSOff64xKvImDuFnrGDnCkjMN1DysT5R+1uVNyJp8KWKk
nkStAOh8/0FPRcfmzLe5vvR1JYlu1x34iEbJhAiJj2VNMpVvT3/LBMUovR/IEhiUBgmH3ENW7Qht
WHxv/RnlFacx4yx1mruFk+m7IRTUUvR3uRBn7eAQQlJcTOkKh+ydGA9JKK6HoN2beXijThx0kulb
5vjCF44x6EtrVA5R56iLfEpu69CA0GcXsUztkgPoMEzydT00Qegphc/Cm/oZMIA+3BlMzcK0p1BL
OMqGjBkupBx8JW+yYj12GoVC02Up0662OqaXUYHv4p+1yPtaxGRu8e/XIneM7Lv6+c/rEPll39ch
qvMbHlGNsYYgePNusvnj4JJqKpvuCkA/1xE/HFwaVEviSkN0ySLhW+nF93WITj7WQCjMGoXBtOzD
+BtD+x+5TzkjYVqvQv+CZJvSoPTjjGQUStDXdf7/2TuT5bitbdv+yovXhwPY2Kgar5MAsk4ma5Hs
ICiJQl3X+Po3IF/7SraPT7jv1gkfmyLFzNxYe805x+xvljl1az40IaUHUFB/Fbb/oxUYds8ftQGS
6cxOiK3QVSH4rT/ID8sYLeuG2kxkdaP2hvOURnRYoQlk87KHMGc0rt4VvTy0bbA8cNUIKT7nOpbY
VvhalQm+qXB2TppF3VVFgnu6jWb9Xp8pdvTMObRa0g1Jq78NU23at2NQD8M20UrpDczgG5N9COCH
jJqpuKpK4ZdjRnjNVkK4WXEbFC988ll12lgNvLb4YmRyvLFkRZ1sr1YZfVNpNm/LAEZ+hrNLyVq2
O1Y8lvpVHTQjPQ9Zcm26dOTqU0xu5NzSDPoBRvtrUYfboFUfraHeF0RNDcUsd0Llb6FUse/Qee7k
vjHlhwBrhqenoMJafEDZXH/DH3S/VKQURPWt14cH9AhAKrJJXi3qkT0nTPuLYlUNjyzDPGaxc6k4
32ExCwAXiqJ/kzRq7GXAgQT4u/LzISB9kimGL1g86J1zA5CdB5uwBy/k6bDDOfc0a8pLRoKWxuOI
A6/rQmERiyeHQgce6x9bjX3Mq/wRHQmz1GyeGtnpk2faRXTfYq7we0trfGdSpxeZxTO/RVF2mzbl
2JZKg13NWO5rs7OPkcI498Nn7y+EytVF+bNVkWEe6Qm2DhhNnbf1z28xEsN1GLLBuGGn8D5i7HtY
HqyNsqldMHF7zCGRF/r5zvIbv9gYR7nVfbEP3P9K6fiTrVa3EMJYexor4Qlb+s8/BxL62PP4Lm8C
ER7Ryyc3DQHZV6MUG9tKHb+mxWzb0EkBb8hWL6HVADzgNSJ0mrsk+G6cgK26LZY3AlHOtgXev+26
akt1wxsNSqBxAiINwTJ9qrPKgulPVYLVJro3jYHYgE7INwZQt1knjKkVboLsXksIVgDz94tObkmI
HU3oDI3cojexI+niLvZsc7xSJ6HCvQIWQ3gWAeg12AtUbfM0yfOk9fgQ34yTo+/qEJZ5q4dPIV0n
mp5f+onyUKa/nZryRrOcWm7ZBj78/Uv88yGypkcAghE25rw0KQD8I8bFWcToVHnQ3Kj4tXYcBIAA
GxV0fBz5tLRJdMSQ4/r3E/2v3lXst394V/35e/7h1VSmwWqGNGzpaNAR3Bvk97D0ltbayxz+cB2o
m9BkbWzVLHczZkBDFjPBIwRDWzHOdAq8qDGo0qFVvgWp3AJJuojSvFOD5YsR1m85oXxGmbo6ff/B
/9XS1yqn31/BP/FVVvzcuY/b/3P9HLfVXwnqP5qKnF/QLgwNt7RqI4Bzovz2bGZHoEv87/h5VDpN
Vd4Wv+0IYErw0AYrQVpCBbbCV/32bJa/AJvgy9gegG+BjvJPns1/Os94tuO+diCSMzoYayfWj4/M
RiCXQZEPr6TRNq2goea/0fyluf4Z/7uGWN/dto4zAHsHO1wsUutZ9sNjOddK1amyebohLn4oot7Z
Es9Kmq2VT5dJn8zRs4q53TFTkoZUKoQArbPxycGEoCm3c8yL1VhOi7E1qC99o9g1/Xi6WV9MU6Gu
QSLChCAjNKQLet/8shrVCtGYzhniZupummq8dkRo/ZEH/o6Zl9tnOQIuM1kzFoN5m1jFCsjPaQsq
kcRjJQQaGTZlouyKnMjPQ9Es0becFsat/mtgzW5pQnR+DbI5Gf/ka5VERIm+p92678k37sD1XTfx
U8RU1yyKZmyUKXrRK+0UTRFG14xbQUryXB/qHVLNeexNbWN1yk0fDc9Gqj/WTvvQEEPGWvxsGnkB
Kq4uN2ksz3Uj/VDWZ+Le2J7CFDpAH3vhZJ5GLcO5TdnXEJaUgU1UsXCPW8r5yLr3tUoSovCZBUWi
rK8NNvM9d+9zP6mfIzOdT1FFsZIMwJnamfYRZSVlJI7jzwgWmw6WFnknXMrdNBk7mDrLqZ6r0xAo
uylP6a2Nw12eGY0HWNYNl8qvx/iSjysETwcfwcJltyzNIWji+wir+C4pjMKjjoelw9od3WqHop0a
v4nyh7LpTpE+jcg4qvllHlLuqE04ulhXtlPFW3XSYl9iDuBxUFBBERymqr6MEmCJRiEMkVbYsraN
cTtMjAdDziVeYQknoKBzrwgcQTmypPRw7i61OSh4L4ASYNnYlZn6Ic3+KyYuG4OmmZ90B9b0JkqN
+K4q7JxNt4wN4s4sYS1NOTppou0wMnxJleiwmLgyNOupi5RdFgXmxqbgMEhtt9e1M7WWd0NBhyAi
P2Zafw1Q5uaY7gET7GymHWqz+MUbhbVv1eGTtnYwVkboWY7ztpjDpVQJjcfNdIQaebvwhw4aO3qa
FxepkR5Q3kWrfSjKdMBGcdYDZe9Yz1PwVtrLkXS0vTVoTGss46lemFK4QA9sGPrO7hCP0rMh5ltG
Vc3VRWpuaGh9zULxqiOles2onR1ZhO4or5COqPWK3GjpdYLm9ZaMxKM9tU8yHfwphGVgRMCUhhWF
GrNIywfoGSDl2JPiyBu050qJHm07f1Kqtel83K77K2FNx9pRjtNEsVubmMc6cXaZmXHdtUDHlhoK
Uy+7ezkmWMUpkErUN27gpG91YJaQX6Kt0CsAtnJK95OSi9eSsPFLa5cxT9J5DijKDtL7KbBoCJsy
zZfEF2gg7SKvVlbqAA174HBBYtRCUb2Rj8V5qIz4ppcLumnWDEHr9pW5fsI0dC6sLOuapg7sz4tJ
2jfCsK+wMfCH1mTFWFE3m1UDMBWn5c2sr/jfPjvN3AXwgRj3nUpRgl6PtRcOlY0OmpzIoz/kFcM9
rW4VS5eWSk9HvpgmCBJz8OpeWTxraoujzbbxElSokdPCvJSa5WcJXh/E1BzxkUP7lMajGlbMTckM
S3kOz0muLTiegzsywJ/7yWFUo6A2oSc4UNSHldOs69UbAQ2Mjcl+SLpvVjNeMwMyYxjQIkOn6atI
+i2QijfWuJvebkkjaDWhjREketcW9iZBtmsDw5vn2IU04Se1+Jqb3cQe0PCSYngd9ACeQwehJe7f
2o4JpeFlTsetCKxPWtE+Gz2LYa3MN86UPEzZfC6ccd/VqLHKmHwKo/kQj3xEp+kyBPkuzEkkqJl5
33XLFavN6xQZN2UiXVsOn8alcbWRvLMFPmmQbBwnlbimRJw107elXts9EnMH/tGAIM36uLNjkgtT
5EdYr93EMB+wSPIbzFCPw8J6pGf32Ol41CkJeuVJwBYVRKJCAzNLmm5fJuEng/6nDWLU3sh1n+PG
Y/MGA4W/fR5ZZ+A7REDCo9YZr041eAFtRpWdXrHM7ZG0yBJRwZiL9F2xFY8u+H0PFWZDF9+72qVH
ftdevEzUrQrnKPv5rq1UfkwJglpV9o1hvgUISANbd9kNDwEsHy67yxbfW7nJ4+hWldO3QMUOSsH5
myoTFKQlvjhGtquD+jEvusVLi3JPcWO9pytsZXuswRABjyV+M4OSqADLOsEla1vkqrYppRxvcV4w
ewLW8VO7eSlw/G8V1b6qDsWRY1HXp1YjhdVFU741TPMLl8IcY1KovIyVyfsFN5M/q3hxdBlnX6mW
tDyh5xFW+llcRkDfvwpZ/3E38PMK4nskXNKEYjKFYEL8UyOOlhpanheBcpMkgD2eU+ezNHY/jIB/
McT/t2+xTlo/TDkz72Izxed0o67xG7bq1ZVqlL//Hus94OdJyuGvYbJRYaGDKWa9R/zwPYTo53x0
4vCq0jBoW1CDASE80gv5999mXcj88dtwv6WGjgAqaZr1ivTDtwnLZNatdAivPZpyzS64BQai1E+9
vB2BQZkty0jj13Dwv1cJyYv0N1eJ6L3tuC6y5UOLP3z9f/9X+74UXL/qt+3eek3AtEQ1FZsH53vv
/O83CP0XFZ2Q8R2ND8cTo/X/3CC+ExkloEablnh1RTL+foOgtxbjAdbC77HOfyozGt9D1f/7dmG/
Rx6aP4XCFQNVk3vOz28X8I2qXmUUfqiZlXA1ZbuuyfGZkTbcdbVyrSIeeC1nTpqJCZ85QEdCjr69
IMQMk/1R9utx5DzCYATYocHhZatQbVqAZmgnezvrt2YX+DlBu3Hkf+G1wD4lf6Zrr63RuXRvR4x3
kd9O9XtkJReoHB/0AvojwhUlpQwKWnWpJ/nF5DrAkg+qXVtS3hbn/T6pmn3jOKeW6ahEoVlAsmBN
pKjaGKCXlE/WONyMIuoZQGUMyli8Z2C0uU69oAgaWysIerfCk7trqM92HcTLjTTbIyon+SoSn51g
EtMptouSB3rtK2yl+ugP1XRX4IDatHZFGHMt0eaHOwHlFO5ij4unFFqxUXLr6ujZV7CX1W4WMF/j
MCXzOQePpBq/ZVU/eWpBGqlok0sqSWPEoUh94H2ZG1UW5OSpnPH72n6qzMfI6Ji3qYGCVKccc8Am
MELuooZ5ubCdozagv1pGd6F697GO+h0Zg7t4ilm4rWMQJw97f5uGx3UsF8UdZQP5RtrOa5Jo92RZ
WYIFJVT8TGfBZOqPSx6/pnCYxgznF/YOHpAxSDPMK0mtflvZeftkYR8k4n72o9ZkHxvosAyjT1HC
zx/OZEUW8PmuCRulNxmMqkKXWHlQpZMUOZXG4bDZ0NZFlKHTTBeA0Ib+vnYzB06xKQtKNOb8fmpo
NCztCqeTDioltNJNXXQgpmYHb1fC12VsKj0tT+UuL/trWdpMIgGve9uTw5vqDbvUV62Pz10Sn5sY
3o0SalwvTAQ5KQpYQC2EQ/zJdAR01S7QyxsSlLCjDIsqQBSRsI1vKBN+pQkk3tYZNwdgdd4kC9cc
+UHHAXOWlg37WlNvhWhpOB3zfaoFpybsD21RPfXKsCvbAitICSqQ5k4axPCLt4MDaYolpJlFqmer
wwvDzUc7IM4n047aYnahRZ1tCrOEUsLfarZuy3qkwMMZHuw023Yww5abbrgESrydVecQTsVVM4pb
MQR7JsCr0jP/DytpcgVW9VAv+jJaPLGQrzGBvPAGjQPXVKKAmdjkV84fWuRG5ZIjyJlFYZ/l6vAt
SqfUo1PX8kW1flTT9vOEKDVSPGslU38olTpx14TQTiuMQ6QxNi34mRqsLnq8sQtn2jH3h2yxdeo5
KfvcOorNdpNbRjhF3bEM0gS9UX7toTPQk5t+LfXhpV76L/gSE79ssQCF+ng790nlEmlCzevMzuc4
GnSXyRP0DzSe7sTZg0POZt0ZTzUCb5F3B6MAtLXVGf+Np0FNbXsXYe+HfYXSG451oW1IJzYLnupw
0ny7ICNNLFzo9h6nBxGqRscefgOGbu4fHBUc4cPoNIp+6qe+PI0GPr+XZpFiuKZdtS/DTnOrBE5C
KVnjxTHsplpd3rUmvG8xW7pdOh2lLPptozQo7Ip5Mmiy8IjXU7WdmV/qsmy5/Jq4kRL5kiqmDdOT
W7CmLuZRL3kzpwWFuPznZJmM8q0K5Dv2R+F1NgtdfSHW6USDq2OG3Mhi5BankilrOqzalNdeZlKZ
U+wk27RSLrJo7pSgP+V2+TbEI1Yy3R0nVMhWY+sQVlTUtPp0ZHQ31JHB3qreY3Bd5mqQ7YRBgI2+
Bvb/44MqkpughZWVzK9ZJL4tmsqfEhrf0iFH5iSTvRzFPCWeNLhOh819OnH0qJHKdQ6W2imLrIua
ZqrnTOX7GC6HCGMWxLXJdGusUxvejDemlS4ezu/QVxW60XlieiPMSy+e+suizifHmAKX30K1twqQ
SC237R3tJ5ztJBwsJ7agcDFiM0M+dqm3GOEn0WAqtWUS4FyhmMdOnZFvjrzlpM5eXxxEejIqno5L
hfT8VF7zqaI2vBzPlU08gu0EirhmXan6vfSZRcKjCq4OG4w2b/dh372bzjj7YkgfZjZF/pIDlgsc
HiB4956Cnl7Cfiw+lVl5TBRi2Va/vPS1E2351EneA1jWyUwqblN2H63jPHFAb1GazmkerZQEfa8n
5RNXm50SW5M7hOqhHvXbAW+FY5SfYx50LDjUG0mTijT43A2FDDAJaY1rqA2sz4FHQjeGG0zRCeuR
9OAY87p1QguwRb1rjXh0qVe/pnF/yySyLUT3POTYCdKaiphe8Abs5eSnKmlE9Jbac1JwYkrIv7Ug
xXpmOuwQmbSdKSL70PELpbk4u6pVmzD6dkdi+w28VudotdNThmeULRUPQY6srRIv4U4ZNWhtjukC
XMZ0wiftFGqCWAuIPKXF1dQVKo1MItM3Q4BwM+t1ABdUP0gZ30Z98qyo0B+wFhXcogIOOGPcL7ng
I0FVtWiGBRMJur9ZTl+oTfgE5Ij0hfVlkfqXyVS3sF1fyjR8IbdggimID0FevailvUf9eBhtcdIT
IusCRVTNopNoxvcwz3a9JT6cdDmGfXy3QDvYOJ36UMj1EFcMjDYQZr9Pm/+O3ZK709+M3WX2XvzF
4n79qh/GbvBhGgVjqMm/2vR+H7vFL3S12DrGPp3o4urg+21xb/+y/qd8stjb61gDuVv9trgnCafz
kVmZzmQWVur0PxDV0Q9+uqUxdq8K4JqFQ4aEdqaul8UfbmnSzpOGz9F8tbuwubUSZh0M+9ZLmUlx
nMc0fZ01UAB2N6iXceauPSxD5DHWLs+WM3YPkVpmLGTh25pOGfiW0qFZwjJns6XeZFnkXIY1I2Os
aRl96vj6AYOBR67H9tWymvYKQ+MkSA20XdQBs9BTjDRqwV53DOCIsMJoSN+95VEUHst6xQwrXeKJ
Nc3T2nbFQD0/OwIibKa/z0FuHdl/29uuVMZTseaCmpLC+WnNCk30zKdreqiPqb5yzDrdRESLuL1i
1nb0jmV6sqxnapLAH9RGSeML+4ZlCVdz3Gs0hQHuuAGTdXVMSk4SgCLpQSzOyF7IErehFr6o6XyM
e73Zyqq4M/DX+rHaKbvODJfjEvb6MYpUy8/07KQpdXuIWSh5ahTJXZoV0h+ECPamNtgbntnpsc4B
lATlcLc0oEuqjB7qXjGWjWIY4CJxOonQuUl0Bvph5rej9Ep0H5Oz9oi/ade2FdyBrLE61FF7xKT4
VlcWOSxCxRthm4mvhdiKw3rpVnpL5HPUNV6mpOo2MLV9IhU6UJoQj/Wwy7sUpMzSV++AsZLL1MkP
zI34mtSQ7ZABSAMgPtTq8MHUrbvcwl+cTtNODNmzSMhpgcal7rsRhL1q7bYU8DvD1mJkjg+VgrYi
OgNV0vAD7GJQT9Jqg0kovLQtQ6BV5KdW1z4Mo+y3rTk+DFHKc50nGjVehUTtVa9W6OyLvNwNunFO
JgwGo7qL4O/7SxZqrhmYt3OQbJcwvuZL3FGIl28dgODIzPPFYASrUuWJTD5A00mS6ej5N33wlovm
sz6yN3OoPYOwsyuN+al2kJoJlgHiqVpY1wVG6ps6NWCwsAfpv0i8GS4+GtbJQTmdnbFgk2vlcXrW
zNW10s88aqk608lyNtM5BNx5+Pcw/nWbwQbp7w5jYqt/tQPhq34/jAVSKRZcTjwDB8YfarzYhAFZ
EECqvm8zfjiM12AW6qalQTpjpfXTYbz6NyxKePA3QSj7J4cxo/tPh/H3/hx8AxJ3CuUBNuicnw9j
OMxZlaqJemUDyRto9fm4ZKX7L01C/aFMJ26RQbqnGIr5SHOegw7OZ8DV2zMM63OXZw8Wm70NiTav
7zoV72D8uVfUQzvUZzJQodsY6KJxzfLYHLptqmtvdNjRNyjG9pTX9aEesCUu8VXvlAPc2Qt+vI3W
UDzfByTCBiAwJETtfREn/jIqnqWT0xzN0i2V5Rb/auBm8Xgv9A6Ps6W4RlpgvVY0PirKoxKhowQD
rTYkqBEFzFOWvOC8eRtDXI6Jkdy3DWDapm5dZLNTrtaZDzp9N5eluKiVvEa4XDdU450Wo7oZiv5k
t8HXyhlPMd0ygnv+nZywWIZFgITHeBYK5XVsDL+1hfbezKwwxtTGDtE8x0L9GrLaWZkUtQsg8Wmy
FK59sChKordpal/mLIx8jb9DoKaXeKne26Rst0OQxj6Ju9yNRI14aQSHYGLx0aBF8Wy8tv34hmKB
umqJ82TXu06mWIhZGm8GW9vaVDvWgXFNBYhXY1z2/aippFmc58R0tv1oXAhq79TOxo9sJ3fsyfG7
FNPZbpfziDroj0H1EkeG7g6ihiblpM91O8P5SbsXY4HhzgmDlJJ/K+3mIjQ9PMPCohFHRl4BbJdV
BCyqTuzbwGGVVoePImvAd0QrY71zjqPZVz4Ij69FaD2EwbzrUxiveQnBpxQa7irlY5LVaTGLrYnZ
mP9vX5SYr+Rg22y9UESipKMrPMnOzpQ/mudSSzNubIy3DDdepAcR94v2W67V+8RqdiZPHRfbYgjz
Nb1ofe1XZc+NLB2GzaC0D9rQ7BIjfZWztnNCDuXKNtiwkX7sShxzRZFDWItIPrUACDu6QXk4+/Nq
W2f9bbvp0uA0o1IhyYPOZwmwE2F5Sg1JlI6YTMpAItPxmERd4kbNfNM4/O5lcOognCMIx9b8Bf9M
8ykqOgA8oYMabpaFdS8q1aY6zG5y5U6tnPoetAhDtzbFJATULQquuelF8A3U0keAk9GNaEkt1No6
WsX03JrN5y6lw6UqyzueWzslSu802tvRMw2XdatXTRYhZ2sgEa82W9vobjQ9k/zlkMItHPj6lFAA
MUk/gvhD3Nha3IQyC7eKc68jlqCb8/tkogNP05sdMGU58xMvNEJLohzmWDkXdbSLUuVQIO1APnXD
BHo+fLEkn6FRFyhddgWjZDnq4Kq1ukGaxBoh8mk75KCP9Tg5W3GdskYQCG3WbmRpk1c5L8hzt7aD
TP0WcDhOrf5Ahx2UgcLy5rz1oth5yZPVjdVESKMgQ9g0YePITRzQabF3mBhZon1pR8mHYAZcba2d
rM7qKb8Qtj+MjU6hmlBZtIwjr62B+Njv+7b50jfDNZlsr03koxqH7Anm5rykOBSkUfgy5VOoslKt
J83BDag+GH3wUZvMU86QHzontIkrDHst5A6r1MYee8JtoC5kVZBHkxhOuw1zJZL9ZbSKE1243ObS
zJWh/Qode9OZ9p4gJktpdedY/S27oU+qqA6BnLbmwLyXJhnn31Qom8os7/UeJly8NFQmhID6kv1q
86a49yYwl0d2LwjI3V0g+iNwLTRZYyB0Onv4Jbem2fg65RbsZwYPAt/CKaxvHaM7qcWytYEmuw7i
al2pn7MAgbUT/ZtOusIduZoc0NJutdXiH4Z32mKfHXse3AX4/NZcxqNqUgdbEqpLqzDxcyVeYyBG
vyOycKtnCrS7+ZYmqG+6WNjOVV7L7qttbIX9Ul24o9Jd56667Sz7aYr7yM0NchtTbjiggUT2kurB
7IXV8C1pe4wr6nPWF4ekK8+RQ4gSjfC+h04j4uabEc5+32vVTTRN2zpZnlJN4GcY0mdOYL8tjLtG
CUpKIJxXxWw+TfV0ooCRRX+fW65e2W6ncRPGXh9NxjUcw5PsOo5xOR+orGeM1gKQ2nuzbdPnIYPU
42ksybfK0o2uDTo7U+MDK/IEE2S+eFMZfZWElbx5KKfV8fruLMtVA9KGJ9YKvVBoW/Z2CaGO+ptF
os91uvSCEMlxOU+FF5XxpzIRt2Uu7hEmAEGUEjZu+wWbs9eprB2U+dqaExsEzq/GInqIneVpmpXn
aiofs1ggUhS6V2UEZ+x5vA4pqVG52A9LwZyf9Ul/17BRBvBvJXu5RljNgMoTAIrwTH716f1H+VP8
LByud0UTZwLuGDxlOon5Pzij29rW5OzozlV7yDcvND7f1i6Vxa7z/njfXtDK/RIDa3w2dqMX7ctt
dDRIylyi3b8D7q8D7t/7Bbv3Im6z9779C6HvB6sgtVSMsSvtG7AqjbTc+H/fOGgkA00kWYQ7A2rB
T+wd1cL3DhYMccj8/q9+2zhYv7BrAES1isaY8M1/BjvQ/7RxwIoIKRyzPFgFFVXx5yEXd4KeNrST
X3tmtuWSiMpIbjSpJsLvGGFvebYMnYsF7Mao6tueu5dcu6cbSqgHDWALlIJzLZrXbC6PWVvcx3jR
u7W/Wk+CC9i1C5+c1C2ouA516g4aSq8jdfwEkvCD5N1EY4ZoRxfTyx1lR1stB/8SUQ3aY1PxhAR+
lXXJpaNge0IT9Rp9KLTP9JRuyJeH2XYMmeQO5DWb+IjJqQt3UBYxXKmAc7AeV3qC8UlBytyYQ3Ww
Yivf1ZZzNCnQkI960BG1D/Ixgc7lwJw8N0ncviZjgIo26LmgRJ2Wc4YiaIltYcKCcIyWdW9jgIX5
nnLjYTogp39Pv+XGmoQDxP+5N8EBjVnxyVrjcqCEdvb3AB1JuiooA88aCdcla8yO/ceF/UrtCgw0
G2Y/v14wBkeInGUA/4C0ntIsh4703sA2uRjGg5wLbyDdN40GfY4mfm9yf00mkOvi90opT8T/lE3Z
9Zd+jQpaZAbtdQqDL3c/9MoBWpdfBPWNvbq09GaTK+OeTDnzZr7HjHkOneImJ53Yl/ROkVZ0CGAJ
0osITIweFn748GqCN9jgIX/IyDtaRexllbobyUE2HcvxaTwk5CPz1ZFIXtKx22O2BigJOgl6Or8V
JOwlCUudpCV60U5WpPXKlm6Q9tZJu9eGZKZFIUhFUrMgybqUoOYxnjnGclO0IIZIdi5gdwaSnpJo
Pa8lAgsCEknQJIDRQDIUEuSWS9eRm8yuMtU3YSRbmyRppXefw5Jo6frShxYCdQNBLdd2NhlUbY3i
9aRSexF5c53cNCbQCFKr3aI8GaRYs2R9hcm1Yiw9tORc7djeOOReHVhPQ5F94hrzVKoRIXdlG1TG
GavwVpCbVZMBdW3WziOJ2oEfwnXI2KZkbQMyt+jwbhMR2CSLq8Q8Qcnmlm1er1bDj8YS94Mz3Tdr
jDcIB+POItkbmyMR30BeZkPA/M4g/zEDkQSORakTCx74fRlTfVVNgzIZ3lK9Iw8ZXnKXOjRWLK3z
dQ6nG3XKPZnrTJDh3VR3pjdR80JpmeXpdf1GRzpvP930qirYcZuboe0GbwiFl9EBKW/n/WOKeK8r
Orce2ZEDLBfMmlycN3ouLVeJ0JiqQSkICGqXQMp7CUCUDDBM52TiFR8S5zaplF0rgaUgEOwrJmFX
aemsYDi8dEm/SwM6dhiNVe5L9J2gpcWCDaHTt7cAWme3kC3Vj9zMo7k9ZTkx/SA967Wy01DkcxOW
q6D4ZKzzL5h5eTEWxeN6DRwimPlldeadkdmHsiMEgTdY3xQp7c0kJDr01t4tVdiHIjISxs7qnMfY
F1PGl1yUL50ldQIR+eAq+XLTr1HVNP5q6twEFZt4SIUpdVrZYEUy3JuFeMbzfFR4AttKn23JR1do
2+PFcIAjDpITAEcqJc5VAduwDvoNUm+9Tfr5XNZwQkw9vqZp/TSYPSHfaHoMTYP3O8C/QiGmje8s
yPjVRHWOua9JnhikCxc0mcPErYxnAM3ZCUtj+q/S8D9WHR6Tf7Pc4uT4aP7iuc9X/b7c4uGuSW01
p31/tjOd/fDcd9g2ORBEsd2Jde/0m9Lg4ApiEUYEAAHCVDVmvt+e+yuOD+aASuhfWyeKf7TcYof1
03Lru9IghSAdQEqAdZT6h+lxEGh3teLMV55a7VZVssJvpQp3PNUJ8p+ITE8GordBZZERFNVlHPsH
FXKZYacwLBpyq3GkGuepQH8eElDsfSuPklCEm816uxUaSTGzJOQDVa+6E5Kkiyk75QRlxNixvnlx
Fi1xFUP9UtQI11q03OUxFsxgxJ+uVByXeogZDiKOW5TDqj1bqRuX47LRbBbafYwoWeTiLtWV7DDk
Y4/72/DVJjL2ijXBINWD9qClPU5WxywMGtjSezJXH2NaPxBkBbdELLlRTeWQICofQ4e+xaVzqqva
s78S4t7hxr4JWIUwNo2YQshhT0XmBaNzUSW/Gh3iByD7OzWlYauvnpykPsVR+6YCtUuqnB92GYUL
xeAsDSh/6z5pqeyvi5NRszintWuLgdq1csVEj7Wr9B1MEwBODvHyNNIJttslS2t4hUp9KUT1ksQ8
ESzw02sbIoRlY/68xOJGixv+AYk3jsLMVRO9tm9b3VbmndKv18uI74dVdHDrhuQFKbumIksIfRlf
J5nC7tSvt/Bm+Vhsm5uLNdAURK6SeMYKxOeQLPq2csEB0Uxm08juhJzGo5CfaCG89IoeerWs/GES
ZL7nj8AyfSGqzhVB+E4vCKlyUk9WSiqgk0u51dQOrH8mboNmNjeWWav7KqkwLC3vdg08WsPbhXhU
MtJIEqXYXA4DInOSlHe9mqvIEYgwKzIdn7qR5Rz7erHrNfNuGsNPZDScTZe3p7DpMoYkVGgbyXlj
t0ZACjvsPGuGlG5lBXejvEU0CNlFxbXzXAW0iedhTZbcPAWj3fD4pzKqM+J3RC9Mr0P5bk0YENqJ
qrdWCZZ90LH1Grs09auQcpqcHDn70KXCBBTKTdiFD1Zg8Z76/+ydR3Pb2JqG/0rX7OFCDou5VcOs
nC3JGxQl0cg549fPcxS6bYn2dF9qwam66EW7RAkgD0/4whsyTV2pSYKwIMabTSoOcZwPKfuiuUM/
EfH97sJUfOS8NXeS9ok9B/x8nJjqyrRt9nbPOevTqqIXpIL98ol2kdNBZEKBMdZBTcdt7izrpQMw
AUA4u+iRLPQ2TLSHfOjOQx00GQzQDZsUihaUYuConyLNJM9DG80mt0Lh3hmqcy3XntA3J3HP/ZUW
Dw9d6Jz2anqF8VhI+WC8j+GNTypOMIpgYbjIPdontWveV1lxoXp+PKGWtAlHAMeD6i7HprPwmZPM
SaWLwo4XXGW+h96RF8RzKY9uU3y+lNIHVtvq61IOv6Um1Ubk1fDdwlRhEmTaSZPZX8NSwluxPQTF
LM/l3pibfn7oZvjWNRn2A3CUJ6Ej3dcFPn5hdpyVSTzpLAS4UfO9q0dChcjTnFWbW86sSpxk1SlM
vKJy9DM1ysBmF0Lq8T8p8XNKLKixvz4Wr8sA7b/h47ko/uzPc5E2O8eYAhpJVx2m8A/novaFfs9f
5+XroQjqlcTZsej3IEUr9Gb/OhSdL/xcRqsPu3PYc2jU/oP2O8T694ci5FWHzpGKKbRgt73De4Po
6s2iqJLzFOqXflKpDTyrQZiQoEg3dKoDOImOOa65+WPRJt/GDDF9CpBXGEKwmq2HAR2sed54qxLq
bZEHKUQEGpmNbp3KNY4bBJUx/RfkVtyMfIrqGjwXWCgTRMhOJcmNhKpHDZ0jO6uG+kkSzVfD6Z50
Eru5T1ezwUcOBG1w1OtkybjwnEik5aWcGbPM10ZEJOCW1C6vWUOJAAfdj7IphcvpYkyiYYni+oPU
Kwu/q5UJzaaVZdWn6RgBIotA/BlFd9/Z0k1cD/E0jJQrzajvPBpyS8eWbGJqzTzzgoH8TXFIlYyo
nCuDt7asMVvi08RWSx0fv9azTOBbwBtdQR8sJkiJX/SqfJjIxkavk6UGNKbSgyNdYGVKQowe8Ezp
1Py2s0rk8q6hF531wilXwG2A3TghzV8c8UDiAHx6LNXqrByDWwOkTgRqYkYfEfCOYZ4j/6uCDOpW
iR9IgDclMKJS4y2GKLiqAu0UUtXp+AwLkqG+DQIqZGDDehAqcG0NASTqZP1cMrr4iPMIGXPJt1C8
UY5CH+hzKKBIhYd6WdHIcxuUkllJh2pHp8cBv2Rn4PJkJznLB90BXVfYB2WeqvgtiBIAAKhSFGNz
VLmXkeWXeKNyRJmt288NAZ5SYl61BhVRtu6rC74qBmdlys2ZnOHojTxqsSxBmPaqamOGCdgBWMKk
F4AtvRvZScFwoetaTktVwgpSALw6VBFlEF++gH71dfkQoqCLrMo5bb4DL6TAbqohtJkMOpW+chQY
KdFo3tRhQW/T+1qBMwNII9G9oaJjCBBaK+BoiALfpSHaeZ7KZmzlt5KArsVVdyM5gNn4UxQFBMBN
E0g3SUUKUTWxoFCy70mFpVuQ5SfULs8iffAA7fagPIDQNdR05r1A1Vld4rFWShsNvwAJRcB3Xd2Q
fGllv65dVGPlKndRMgatp0XhbRPNrDi40WpBlBS4PtbaTBdIP7u26mVaAbIwOlTpekV18UHD7zbv
ADtCwUrCQJuNwAdhqvrzIS2oPQAtDIS70CDQhsEz7hAAogsQMeoLWcy1Kx234eF7JEOZkgAvZlY1
1wSa0ffxgkFGkij+uywgj7mlfy9H+d4BCwnD4zQfhitVgCRx9PXn5oAE0ZAUl35TrWMdu+5gOLCz
EU6QQwVaEaBLfBaJYHSir+G7WpXfPKk56rL6Igavif96tAjSejaC5NSctp9iIhTBNwTmGTaI2zYC
+lnW9fdcWPLEfafOcB9aB0X5jTY6B3oG8F4VINK+s9HpbQTW05BsLEj1O3bdgqpFiTUsONQaSXDk
NdRgxoZ8hJlnv/SqBhLZ2B7WAsiqgmg1/X5Ni4buoAC71kUVEx6RmVZ6sTITc4bcFAU1v7+qjYKO
BA6UcY81OnpPVKVSo2TRZSwJ2zyJS9raWe+eZjGWtXrj9lNL8q5cVz/LcufKcfWV1g/21ARKLHAc
l26en3qeUiy82o7vyg6XGrdrjyVKrADYxcI2wlvLBNJttl20YFtFMEz1H/o0o0WoBwt0lw/Z0C8H
PQO4jc7ajAPgItdbvJsMY9bCy1j69LOmbaXpE8PMrl07PYQSqk+jIkYTrb0IIPFPVGC3Lh65CFeX
VLC8mL9t2yvDDO3VmDYPFXbnEwcJ6AlJmI9McwFZdZS+Ozr0gNovg6XtSBeoOj+YGmu7iDGVoXYh
TePew8QBiWj4SA4Nrqy4U+xEQFxBsSZDb040Fa4W9iS4+bBnG3kqL0IgT4tY8AQduh85E4n65mIA
X4Y9CaZKHHfltNMgx9W97C0cR2VMsZo+gNJAsK8jHI4uFYsG0YRGb2/8IbroOBOndQjmKTCAbhqW
4SEOOTDd0KmYNaGAc8YiyZJGZLF02BuY/ZDaWd3UkzuoBhFqaDX0ClytjMw4R4t20yvcrtJDGJKg
k7oSIrXZpMdwpgqEeMcTzv9+YlnpCs77QR3n5VQf1AaqmpzdFXEYH1RjcaOpLPw41W4lxLlg5zx1
RbzAYveGw17GdwrkPuf/QQXdisL2NQKQKxw/UWWBPCsKezio693KxV5L0NcpTtPTBbWAoY5lPQZ9
Js0SWOfTIsvHxZDZl4qbFHMDj2ckq/t0nucJ+lpx4x7I5bA2JSZD7bfqAgzDdZ/CUrBd6TDwvDX+
NTOP3vSkD3ME0GhDpVZ+nkUwsTJH9uYQyx9zhDWoYQb3uhygZFaY56SmXzM8L9w87lejp30P5c5i
j6VPpaolIL8+xcPdokpVm2TycjYw/UISBSUYnAkc4Xuzak8dHdgEEjHkAhiNzVDE8WaQPTsw/+Fa
xuoMuSqQAIEbTos2PwramKGuy+UwomHWaCLylqNV6NX9NLBhEco1bbFCddNpFpa4JTn2k+9JIOZt
r1y0iiZPs6RtZ5mMSlYEcnuQzFs618oEd2FjmhTStV92N/B1skkaOFNEdo6bSjEmXkP645Fe0Afw
r2oTJTeKXAeN11TTRHZugMyfezHawFpVU+rLJRTWwBVPNbA0vSfFMzVKDyQiJxZkKNN0rR5yLznv
UQzzGC2OkHBVmHI3FQyLLqeQl5vfTRlsDC7KMyuxEJ13ou9WlfgzNVYf26E8cjjJsW82HqvWWhY2
8jSppxy6KS6+CJrp096Mbr0kQQWsL9WpTbEulBLgNQ84CB8TGOiAy3GBUprwMBdqh3kTYpARIBEK
+x/4eHTvSQZd9S68VkpQynkjXVqJY6LOmh3oTnfbE3MhqDhC0s2zdF7UmjcdDNAYSVTwcfBDmNgd
QgJAMo7sIju37UHgXzBxY919B3IKogOQ0RzK0UJum7u8Zen6pXIRe6mooWonmhnUQku2nDRRfgWy
35gaVKQIL3v26TI96fUSQTFTP1Ts+hGUAgihoL4telLApJFvxjg47If4WsWFb9bBb84s+aEVfBib
3ingZ9QQs7g5zqtykcqYsNBkoJ4L/5VZG24cIUXYmmjV9elmTMrD0cGqBAuzA+x/7wI0FmsrvMnb
PJpWRHlWxNaHqSDyjE5nQfUPeJONtZT78rvpE9JZWX+vJcR8LUT4AJATXZED1wXgH6Vr144ewro5
0/XiMEHIeOYBq0AkkJNSI48trMveV+a9ATjRLbKrvsKpRccllP5PIYfnNaLOQ0ABd9AgGrs4YZbt
cdlnB02QT2NDbpFQCxX8vjxLjS7idDTvBuQU7dNCooN+ge8oxOHBNnHby6X/cC9fSrMGbdLf5KBN
vC43W1JQ/uotBcU6E74w6ixC68kxNLLAt9Is1pkG+mg21EShPi8kY95Ks+YXAiKRbApxphda5ltp
FmEXyrXgGNFj1RTKuv8kC/1YmuXB+NHKvAcKyGSj70qzNOHkAvws2mpxhpkk7PpygGIFrsyisYl6
RxkLNhvKy5l7ElCUmxlKV03LtD1PquzAclyJGA56r9MW1KqCI5gPJ4MFdhtY2JUsR08tQSJqgC3H
itQlhEnqSTYK9r9setOkys/SXoZzTyG00u+cAq8m23d0DH6BxjjSuMDXXUIJxEcMEmVGy8PYHaei
r4adfsuH7Kb1Sa2ymrKha5pfy6I+SPHarB3p1k3RI4FIrWnBSRv5x3UWfKsyZOMCxzovNeMxBv0z
T/hgkyEOzCUM9cNGye6TQR7m0Nxhj9ZCcC7uoLV3N4OalziBdgtdH+uZGmrdVO+CGIV5+6nwUY+0
Y/O4quPrjhR3aiM2bkT2ZRY4TxSAzgMDUzgV3ir+hGE9d7vu1M5bQOPpI8W9e7dQz0D1PFLOAHEZ
ld68STt0PKzk3MuxBPGriR5632IV4Yg8tvHpNAHYdXn22CkOpBVEtpOh7CY57anZgLL1glZ6OUV8
+LiugJPr7jGx4WwM8pJYolvIZUcZ2lkJPQk0tb8HerixkvJaQ4IFydM7rA+RpLR4k3xJjlwak64D
fafKJGsqAnYXZlud+E7/nS5lNqPrvcxkV542JSBPBClvdc+41Gt8CDAevdY99Xujmi0QNPHnBnG8
rjV3CQiuKgO/AyaB2AN1DLepw6VpxveZTqqh5s0p/TAs6iNqmwXiBxMZaLo5RgvZytGssOVlUfsA
giLUMpqcbw3znG6qGiZFELicBaIlJh4IS7citCB6OqQsASyAdtwEDOalFQNXSendcpSBrHFFootO
plz3IG7GKgRkw4wzrE6a2iOTeKj4DhM19+ZdOV6h9MNTU5sTt124cnM12tph0EGvtdQYAljhAhKK
Q9qjTfQIOu/OpqBFFTp/kJWsxInHnZYdZX9sKVegN1FKl/yVnGIbJllROpXlbGmCKlPkoJmiFuSs
6O0PaLjbG8w9j8lc2wlUpnxOKePA9IYBH8Y2nXOo4CZpHCIDDhGshrhIEvJQNQ6ZcqkAihvz8ZzK
k3qkp1hZ9pBRvINYdXyMR6PuVrWjskX2qPKDrwyDW5+pteV1cxNn0oXpJnJ6bZHfZDO9zkcO2DKu
/Cl5gXVOUSoAbF8gGKEVvXcfgCitYqbQRPd19zSvQGPWJkkyVoUyrUnfcrwrv5CFdo7RXyBmdOh6
RYAtjQWWn+A+BoNlm1Vx0OBYR+oQoPIwhTMTJ9T+NRQ64guc5/tiSRtCvYs6TO5P4jRv2GdiX5n1
pvUoezgAgPcYygQzRKpgCAZHulHMqRpZ3rVcW3F1r7qtxwmtjfThScRM91tkBL5+ImMNgE2j0zf5
fzqZr8clqPXfHZeEWkm67cDk7/48MB1hsKLAjKJh+CI78HZgAm9CIQA+FTCmdwem/UXniCXXVE1x
yKocY28HpoW0KSqlaB0qJgkloKh/ULZFHvGnsq0tDmTaolBLVXRPReeU139gTSmtwbTIkuRsNPxD
2F9goDO676ylMQ0zNPmpW4VufII0J3m/hhFAoyyDvD7zwcPQ35gh4wtzH0toTTnsqnwdNfq9W8Gh
SeuTflTAxOir0TdLDpZsmPqIi1ZDfAHFMJqbSbKGimBOdR+XVBxf8+nIOqDPGauTOOKQsJMaSqfm
HzX0M45TwKy2L5DYJHqTEUx76UQPJkxAbEjPfYpfeQneIHfCu05pBf/aPLOplbCVwLaPUM4+gzf/
ZGYZeTdEaVSjLYpUbaQcwNU8rmvrQHOTa4pRG0DDJ5XuCPDpdQdkElEkb5mZzZFpsE9krXmGc/Fh
XCO95fjGjYbmyJjV3zrfXFQtG2kJKWrSOfa57pRAK5BP76LTsKP3IykuMWuHMJAVI0JeSrdOQoM3
o/slG+Ex3bx+MuYDOlsRZ78RQ12OsGj2TSdZSKHzrecMNdrmWEes4DQvLuRMWyRkpYOlnFkG4Hut
vxwUkLZhiK4DOE9N8QnepbtWd29NnKbNhmqgQx+LXlXygNP4TQ7Ka5aM6F8pfXg6tAxdETUXcu9S
xonM5GuhH5hDZddU5KFJaYXVnnoyavag+CFN4ao4NO2VP4Rz/o3tG3DkWV2kXxvehgvrbBoF5LS4
fS2NQBiE2wrokOGoaPkewlBih5PteJYNNhxYNGYDGyZ45z7pBadiYJrXemZeSvgHTKXaPHYSApzG
sBDdyqmTB6V/KcFeMMJaPzYySlV9EV7bbvpoQ5RO3eQigf8epuVXzyECw8adOgofapW7SoegNKck
zUVvCpZwoel1PwksuB9ZEC3yoJmNNL2MMQJN364iFT/jtOnhICO5ADwvn+kmNA0O77ssS+YO2Hdh
ZOITYlE/Q6kB46NeqRDXKHuALZYyGXsySlNx8pNxKBEeiyi8NRSoZDLGLIBeEvS2PUuaFC/zEqEh
TIyPEWIAhF7dBaZ1bOjGZdpmwdQKnGQqKeO4TFIKYqlbAuEaSBHpmH7L0+LKbvnijc6bDQC/5MZ9
clsJs+vWQOrevmywx+w0+MKK6x5YRHy0/OmzI52ywPhZFE/plKheVIEdJgoLC3TlpXFYe9qIn3JF
mzlmRCe1VB7WrTSTI5NWBjg5RYCISA6Wwagm8yG6BGyoAO6HBj2upWhY16157fXtdRRj2tbb55Gq
RlMY6hTWVMohWiB9RReMyg+iWf5YL/yhNQ+BZRMJingJYgtFPGlY870OhzS5ETeEvxbRj5qpOD+r
fXUSy9JJL+MLjfh8OqcDvQZYtRryGvdTMxn4uujUwoG2JkNJzUotuqvEwnC6qGpliXosUaFGVbIT
xtRdwwzk599VYVo9GLELVouCkh1LlzQxNpWwuNbNJCBRt25y3K8rYYONlvQmzyHzYRVVhZQWcSDS
5wTA4N4VzGGFnbaLr3af6nzbwmq7SPnQiIO006ZO73VhyE1xGXWSwMYhq6W+EePb7SJ2scpw8i7M
IFs6bI2UoxYF2m/gmvSTsfbPKtRGCPHgMQ44g2P42CFRmJ0XeIbDjr3OR/bKTLlSvEKdZiNdbDmz
1h70SexYQYFiQN4FsglTvrnB1UeZusKmPA5pzZQGkzqq3PsWL/OypuwuzM29WAKEgN05Ng8RglvN
VW7j3lXiid5oEqAJ2lXTzkKezEvooJQxWwV2ATiqs9EtIbcnE1WvrlHI/xqp9W1ZYA4QR82tLmzZ
FbVTKJhj1U70Covk2b7dJwbMPDSlsDg4KKvwKjW15ShM391Iue8iyv4OGAfj2R9eOMVruUlgp35t
zYuuOhzdu47mma9d0ISZ0PX6SpXpJkDF0RSm85gtnao5zcI8xpBeDs2NwkY/V/Cqp67L0hb29ZIw
sreEpX0szO0DHRFfpzuu8hi0obqy+pjtNxjm46Bc4fFw5GfDiFJNc2vVtAjkoj4s6lMBP60NnLk8
yAw6wh6zOHOCpYpT8NQog1tlGJdxXIbHdFqUBe6NJw72wQu086KFVvfhZKSjCOSAMrSBTnSXe4cG
jcZpZdpQi5XMo/8wNAAokMHZ2EHin3RpPdFzyl2GdRtmyNdguQiSsy7G4VShOD/1K75nYB7myrPB
diBlkrF/Hbr1CFBeK1FNGSXAG8BtD3AOOoWJY9vrRh+G5dj3KvuxXcw5PMIFae8iMZQTANEH7EaH
Jgl3ZOs0F2vaRlKpa18DK2eHaAv6b5W0ogp1quuVt0p9eaMN8gZf0geOHKSKMCwcZGrHNpJoMHo1
2jYTWLTZLOrjxz6I6E55PmCcEJKIC5sp9cw7ZNbaJWzvcN5BBy6UCoIxZA+ULQVBzDzyBOr2AbkX
RXcvkVlYSVKn4hNBcp0jexE0iTJFP+OG4ecUV+JN3oeHrepZKAn3F2VlLkMbWImhWemCdJ9UqpSF
7yccG6Xo7tK6R24jFjqbMzM2bjCQI5MIaZ6M0UGnm4syiFGWUBJaSP1CqXOcwvRHNtfzGpbtFANQ
/K/M4hJjuQUbnLLsdCGjoVQI6QDItEboaib0bqxTzyynxIHM9bGcwFh6XvY18wF498w3R39Smuhy
9xhP5CaeoUGmrkdsMQFad0uLeiB4MPOUIPeuLPPj3ootys3SXMGl0+jse44W+jrqJeSdI1buCkC9
jB+Uf5OPlCfCACirwlEbKceBWx+5cXZr5Mpd5yJOimjnbaX2JxnZD7Y0Dt1kCWStY3hfKUekWIbF
B2NwWOrlCX2ZRd6ptD4C+8I3cs5oybxp8vZk7PFUTYOHWDfQRqQ9WWnDMQJZzWooB+qsvXmSKPhV
mwkboQTlzQhokhn6KsrU404ej5pS06aeAcDVHM3bsEuScw0yFMaAtoSOIjIvrQ/gHUebfIpQON3s
JB2meWXpiHGVqwohdWBu4YPVEcPYfXNu5ZW2dMo2W+KRXR0nRUmBUuvgfwL4AhAF9x3xV+cZFa8+
I+RByIKWN2vp0BQAelzFD5xnTH38jK8fn7H2z1nIfyQsRO7y63TsHmWXLbVL/uYtFUM3jnQHDIyC
xrOjG2Rpf6ZiIGtUwJwy7BAZPvVPdBJHNXS8p2AKKWi7/cSZ1mjBoHuBjjW/9M8QNAgT/JSKCVip
LZvkfcKOU0XEjjfxYypWl12YxmrYn+U1VUhEcTA6Lq9rNfGnoTCVHZU0uw5gjlDESJKrSpjPSrIC
b3B0lamCtw3wQreeFLp2ilSHjP88/KnBCjfaiMZTLcxt/aJ9cJoOY9oBeCSt1/7c4fifQuy1pk7j
Ztd61Z6UMmWHGu/cNvDR6fEKdsEOY11ohSAGDVWbey22u5Wi3CTCiDeGO7gMkaiHs3Gg4dXrFQ2G
sTrKvnBHgrNYWPpSCvwmySaNUSwRsXMLbgphAOwLK2BOmGZKwEMPniE4CxTbXRDEOStIhIL7pppg
EwUATUDRMH2jl5CO+OmCU8sqUI16HiIJ0yTHDVi2CExbJ8BtNSg3R8DdDHBvcqNjWenJcxVEXAQy
DsOqr4zmSSYgc7IAz5HfJaDY/W8GuLrepDcOCPfWK6JbIZczx7IHEQvQeLWA5cEkpGecKnhle94q
EuA9yQQsKOB8fWoemiVbdU3Pml0PzF8t0H++26GwDSCQLzpEtyO/yiT3VAcyaBOjasjk8km0JxdQ
IUJp7THyWnj61LhIF0APkfxBNNgdT42Mr7TO+xn8CqCX2oOqlbA6okfJzUkkfP8wAthoCoSjRdw8
UQTqkRPuwIAJN43xfkYpzjmjJw/WNBEUQhjOAj2ZCRwlGcx97o0XOgDLUCAtJYG5bAX6kvkB6sUu
IvuMQzrUHgTDbjiwqMnOsSk6klDKBuqKPNcM3WtY1JaxkeA0Y7AD/EEaoGdiVOA6oXFCMf6wDSlP
Wrgr0aJTjvGoxalKqHO5soJthGEHy8GIkF+BLFJJIwcR3rIA9ksgDV70WKiE/oNPnBUgJjbPQmdB
fZ46ajQyyHiMHEhDVbD/QwzuWOBTmZmKF+llnKY9M1s/6G2HDAed8+vUd/Ec0/WVkqVIMhohbW3H
BBrl0uLU5RQEm7sZQBcFYKQOIsO4Lmv3m5qm9dSKtKllOadkIzGHuwGDuAPOasXmgWSX+hkxXzbB
IaOeYgqNWnepX7WRQC7XxjEsBngL6eBMZck4LOMmOFSG7KjQY+WgyIjFvdpBW+SuUtwzqfMW3Qj2
mCo9MpJlAEMzKZfVAMwNKNzMLuIHPzYWdpaz1FkmudBIAT37LUc0pRfqKZFk2TP4l8qZL7RVXKGy
QnzvHZKHoH1tu6dtQYc1dMAhDw5GShi8U6GF8+8izzgoNPuHIqf8Pow2xHAUXohlOSurTF8Onov+
i1CCyYv0yBPaMINQiUHHcETAWpGWutCQyQC0m5JTLkbkZSTZuwNbo52rISEHux8qhgHgLx9ZGol+
hCd0akwEawor9L5XSNg4Psv4wkLWZnwWuEkdIXbz/+X8fD3ihb/C/Fn/9KLZlMPlpqIEXb1V+cSr
5xm4pOvs3/ul39/ojxfl1esh3/z3f62fkiDFVrkug8dadAHfqbLK70/k5zf2/K5/e594DX6keeIJ
GiJQHMYOslHO80XXMM5S7/VlSVFVwdlE5EThFU7/H8boV6Pw+w/4Mpy//53fvvn3g/DBG+OfD4KB
AC3ANZgtcFS4KML+PAhUik1+TJF2Hwbhx4mA3NV7vs/f+fx8wL/mgPWFCMs0AQ5v//h0lqmg45ZF
5PZ87cMgbFkOKhHdTwHq3xkJ7vPDUNhfVIjJcJ/oQIiLGPXnmaAyVRxdppWwl4OAucm/Mx1+HgTr
C2xqxJtxG3q+CLk/DAKDZAnW915uCa/L9EWP4M8N+x/ui7jaAGIAw7B9IihfSFTISCC6P1/7OhSQ
53ZcExZUf53IlO7Z8/V+d2R7gA9oYacH+ENcezoUQr9g56HA6ghIqPy6MraclrQLwdI4+3paClnG
3QYBTotFGm6pIm4Q14ftQf+iQmZge9jX/UHefVHgcOloBiomYsflej8TWBToYVrQUyHi7OUmqb9M
0V02SXrhOgIVhollmLjEMfJT8MgmiUCH0CTd00EQod5uy4EIWmiaQD7ii/7508tMAeGCCnNYXC+P
2r8AWuim7DgGAAwBUhgUdV5WAzvtT0MhVgO2boatvGQsezgIL8t0l9XgsO05NCdR232+PqwGldVg
U14URrB7uSWIBbzjTACEinAAAfIv9kVRBCbZIJXa2+XwHnX072QRYI5UUEJAbsX1YSaQT9pirugv
p/EeLgcO9R1nAqIPkGQpRr9uCe/3BOBX1ByIsA1Sa659nQ/K7juD+QUjGjImnWT9+fq4PZq8xpp4
Gfb9mw/K7juDSVapGipZ0y8GwQap55jQqvc2WNg9gWB7pM2lYP31bgqIOhvIfoKpl5Hewymwc9CM
0RM8A0XHyf39p9e/KCa9PIoObwtkLw9I4zPGAGMqLNNAjr591J9CJSYC54LCEfmSbu/ttvjyxnYJ
mFQOAJy/RBXl+XpfbFOMLwZBpcGAPb++r0Mh1LV3OyzJqXXnmTUDplhcHxaI/MXAVE13lJdn7eH2
sPMgaMYXDZ0oQseXr/tDGZ4sQjQr0J3a12NSGN7tNhM0jUVBUGSbvwigYYChuSmD4tzX5fCa4+2y
M/BFsytQT/xVYUH9AmlNQV1/XwNoIX+220zgtNQpLwmf9u3bo+AvCDMByo3Pz9rDPWH3LEL/wlGp
avZb6MwC++m4VOjYUGDCUeEl19rbRbH7zmBSZofrTyX+ZT7wUX8aCuYDTBJq9a+F7v2bD685/247
gyI2RhSVfjEIGlUYlDA0UZbeyxhS+JXutjNoNFyQlSK1fo0h+ajvZwLbAiRcbV8rTa+tgV1mgvUF
7B8qXOZryvB+Z2A5CKVKNgYYVlz7ujOou9cX2ANpNPw5Eh86MgRO6CrR0BT2X3u5KATDbsdFYX5B
qhwfMzShnq/32QSVR5i/Oly7fc2wBbZ1x0EQxMVnbfVfDQI5F3LtOqfEvs6E3QeB2Y4aCMYCrwfl
lpmAGJtONrWv0ePrvr3L9vj8RUM4FCnJT4cDCQSG8zZw6tdq5J5OBKFtseNq0BDLkDHjes0nPyaU
nCHU6Cm77uu+qO1ed8UBEssF4sJXdMaHYEHUHsR/pN7i2tdzUvAFdpwPQjxF8Kyptbx91J+WBiGD
hocXzvYvz9q/CFrbfRCowxuIx5BJPFeaBFzn50FgPshwEShB7uvOsHvERL2ZVix74GuB4f0RwSbJ
RJGBgO3rGOxcX9AsqvFCd5bA8OV6PxEEKUdGNUEYr7Dy9nA17B4rsCWA59KFlPzz9X4iEDWqDp07
x3kJJvZ1d3z9jnaJGJ5xflAl3jaGDwcFnQkU/zkq9nUQ9N1Ta13MeQHg+0V7hlQKFUAaNOA4nq89
XRqv39Fu80HU1SjB/irBVr6wdyjE0ftaZXg9wXYZBJFaU44XeeX2kAFQj+6g47K3p6W+ewhJ5dGi
JYmnx8ucf59S0LME/8ZhsrcJlb5z3EQ5HiwniZP2K1APlsBI8yGvt69xEw7vu0bQ4BdMmRjZfskV
PvIj5C+8yAYqlI249vWk+KDE+M9BXoB6NASimPTPn/RjckkZwhEb5Gvisn/h0+u+vcP2KLDgmtDV
eqOKfEgmVOSyaOLTmNjXg/IluN1hECjH05JWwfu9xgwftkcqj+IU2d960wdzjH+8HAS2h748sfTr
GbElehS8KeKmvd0Tdt8eYT6w+Wnyr9iUohDvAHcxXzHX+7cnfBB5+MczAUA8ZXiyBMFOfV9Z4AVL
Aeq1p5uBsXtWzWZA2x6I36/CBADQwBZsQom/Pwh/Y578SVCe+kH89ExNDjbVNgbzr37hjZP78fUf
iMfPfNOfflNQlV8e/hd1+V8/M5efSwc/vPpWSnh+0uvfv37Ejw//6WFvn+vth6tgU67LR394fmF4
faOn6wRu8//E/O9p/SNblqaxJtrHbz/bTrP+s8r4+7tjgbN5u9HB03//l7i5iHrefrbLzZP1U1a+
3eiHm7Nw/hrHjwTxv/XOJ8IC8O0+P9ybPGHne0/X8brlK6ne7vXD/Znvu98fzc/qw1fKqLN3f8LN
07pc/zHNqnrbI9jOdn7EbBP/cZqVW8efvWfn+8/jP2ZZyeR5u9cP48+JvPP9F+WmSrfdnJhn55sv
402avt3nhzf+Gct11SQPWfxUf7y98hkL9iDJN2Wwjrfc/jOW7AGOKVtu/Rkr9mhTbhlzATPd+fs8
ClJvy0YgCBU73/t4HW3ZwwT08BNuXVWbbWPyGQv0OKv++J/U28SbbSPzGUv0ZP3EBvw2Dn8tIyHg
sfPYnKwxynu7zw/3/owlKu6NtOOWt65+xhI92aRP2WOwbfcSuLTdh2ZTPm6e3m7019gIqNPuN894
72/3+eHen7FMT7KtY/IZq5Rb4za8Gba8889YqafrfNts+Yx1erpp1x9jR0MW0POdv82zcs0W8Haj
H77Oz1ii5/H6cbMldhSiGDu/83PUKLcFdwLUuPPNLwNCxyp42jIyAgyy8/2v1o8lKUFabzlLBdDi
Ex6Q/jHZ4Luw7QGfsVSv1uIBZboun7ZuZNpnLFrxkFmw8bZ9iM9YteL+C1bAY1A9bnvGZyxf8YzD
bF00204r7TPWsHjCcRNUf5w9BFW+7XN8xmIWTzlZ15tt9/+M9cz96/Ufk3X5sN4WM4iG6mesCp4x
xdxoy2Yt+pSf9YSyGd9u9teeKtpfuz/AX2/NCUVbafebU8PYOjSfspiDKsLUtnl7nz8MzKes5Sxe
b4seRDd094EhMEm2zZlPWb/1GhHKeN1Ub+/0h6H5lKUryixbzmH9M9bt9cZfbxsaQVDdedx/b4b9
rEG4Q23r+nc2Z7vf/LemMLve/itj22xbq8ZnrNXfSCjv+sbvm4ctC0mUu/+P2bKtLPsnFOxjsfZN
3XHbn/1cixa/8Rhv1uW//hcAAP//</cx:binary>
              </cx:geoCache>
            </cx:geography>
          </cx:layoutPr>
        </cx:series>
      </cx:plotAreaRegion>
    </cx:plotArea>
    <cx:legend pos="r" align="min"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2.emf"/><Relationship Id="rId7" Type="http://schemas.openxmlformats.org/officeDocument/2006/relationships/chart" Target="../charts/chart4.xml"/><Relationship Id="rId2" Type="http://schemas.openxmlformats.org/officeDocument/2006/relationships/chart" Target="../charts/chart1.xml"/><Relationship Id="rId1" Type="http://schemas.openxmlformats.org/officeDocument/2006/relationships/image" Target="../media/image1.png"/><Relationship Id="rId6" Type="http://schemas.microsoft.com/office/2014/relationships/chartEx" Target="../charts/chartEx1.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35</xdr:col>
      <xdr:colOff>0</xdr:colOff>
      <xdr:row>43</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2008909" y="0"/>
          <a:ext cx="18819091" cy="7943273"/>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2008909" cy="7943273"/>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206339</xdr:colOff>
      <xdr:row>0</xdr:row>
      <xdr:rowOff>101429</xdr:rowOff>
    </xdr:from>
    <xdr:to>
      <xdr:col>2</xdr:col>
      <xdr:colOff>0</xdr:colOff>
      <xdr:row>3</xdr:row>
      <xdr:rowOff>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1546261" cy="447211"/>
        </a:xfrm>
        <a:prstGeom prst="rect">
          <a:avLst/>
        </a:prstGeom>
      </xdr:spPr>
    </xdr:pic>
    <xdr:clientData/>
  </xdr:twoCellAnchor>
  <xdr:twoCellAnchor>
    <xdr:from>
      <xdr:col>0</xdr:col>
      <xdr:colOff>0</xdr:colOff>
      <xdr:row>3</xdr:row>
      <xdr:rowOff>0</xdr:rowOff>
    </xdr:from>
    <xdr:to>
      <xdr:col>2</xdr:col>
      <xdr:colOff>203199</xdr:colOff>
      <xdr:row>7</xdr:row>
      <xdr:rowOff>0</xdr:rowOff>
    </xdr:to>
    <xdr:sp macro="" textlink="">
      <xdr:nvSpPr>
        <xdr:cNvPr id="5" name="TextBox 4">
          <a:extLst>
            <a:ext uri="{FF2B5EF4-FFF2-40B4-BE49-F238E27FC236}">
              <a16:creationId xmlns:a16="http://schemas.microsoft.com/office/drawing/2014/main" id="{9C449DC1-AC5E-692A-845B-97E438049157}"/>
            </a:ext>
          </a:extLst>
        </xdr:cNvPr>
        <xdr:cNvSpPr txBox="1"/>
      </xdr:nvSpPr>
      <xdr:spPr>
        <a:xfrm>
          <a:off x="0" y="554182"/>
          <a:ext cx="1981199" cy="738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b="0" i="0" u="none" strike="noStrike">
              <a:solidFill>
                <a:schemeClr val="bg1"/>
              </a:solidFill>
              <a:effectLst/>
              <a:latin typeface="+mn-lt"/>
              <a:ea typeface="+mn-ea"/>
              <a:cs typeface="+mn-cs"/>
            </a:rPr>
            <a:t>☯️Total Orders</a:t>
          </a:r>
          <a:r>
            <a:rPr lang="en-IN" sz="1800" b="0" i="0" u="none" strike="noStrike" baseline="0">
              <a:solidFill>
                <a:schemeClr val="bg1"/>
              </a:solidFill>
              <a:effectLst/>
              <a:latin typeface="+mn-lt"/>
              <a:ea typeface="+mn-ea"/>
              <a:cs typeface="+mn-cs"/>
            </a:rPr>
            <a:t> : </a:t>
          </a:r>
        </a:p>
        <a:p>
          <a:pPr algn="ctr"/>
          <a:r>
            <a:rPr lang="en-IN" sz="1800" b="0" i="0" u="none" strike="noStrike" baseline="0">
              <a:solidFill>
                <a:schemeClr val="bg1"/>
              </a:solidFill>
              <a:effectLst/>
              <a:latin typeface="+mn-lt"/>
              <a:ea typeface="+mn-ea"/>
              <a:cs typeface="+mn-cs"/>
            </a:rPr>
            <a:t>2</a:t>
          </a:r>
          <a:r>
            <a:rPr lang="en-IN" sz="1800" b="0" i="0" u="none" strike="noStrike">
              <a:solidFill>
                <a:schemeClr val="bg1"/>
              </a:solidFill>
              <a:effectLst/>
              <a:latin typeface="+mn-lt"/>
              <a:ea typeface="+mn-ea"/>
              <a:cs typeface="+mn-cs"/>
            </a:rPr>
            <a:t>,400</a:t>
          </a:r>
          <a:r>
            <a:rPr lang="en-IN" sz="1800">
              <a:solidFill>
                <a:schemeClr val="bg1"/>
              </a:solidFill>
              <a:effectLst/>
            </a:rPr>
            <a:t> </a:t>
          </a:r>
          <a:endParaRPr lang="en-IN" sz="1800">
            <a:solidFill>
              <a:schemeClr val="bg1"/>
            </a:solidFill>
          </a:endParaRPr>
        </a:p>
      </xdr:txBody>
    </xdr:sp>
    <xdr:clientData/>
  </xdr:twoCellAnchor>
  <xdr:twoCellAnchor>
    <xdr:from>
      <xdr:col>0</xdr:col>
      <xdr:colOff>0</xdr:colOff>
      <xdr:row>6</xdr:row>
      <xdr:rowOff>86590</xdr:rowOff>
    </xdr:from>
    <xdr:to>
      <xdr:col>2</xdr:col>
      <xdr:colOff>203199</xdr:colOff>
      <xdr:row>11</xdr:row>
      <xdr:rowOff>0</xdr:rowOff>
    </xdr:to>
    <xdr:sp macro="" textlink="">
      <xdr:nvSpPr>
        <xdr:cNvPr id="11" name="TextBox 10">
          <a:extLst>
            <a:ext uri="{FF2B5EF4-FFF2-40B4-BE49-F238E27FC236}">
              <a16:creationId xmlns:a16="http://schemas.microsoft.com/office/drawing/2014/main" id="{C21ED0DA-ED01-3611-0057-5B9D14CE0C3F}"/>
            </a:ext>
          </a:extLst>
        </xdr:cNvPr>
        <xdr:cNvSpPr txBox="1"/>
      </xdr:nvSpPr>
      <xdr:spPr>
        <a:xfrm>
          <a:off x="0" y="1194954"/>
          <a:ext cx="1981199" cy="837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800" b="0" i="0" u="none" strike="noStrike">
              <a:solidFill>
                <a:schemeClr val="bg1"/>
              </a:solidFill>
              <a:effectLst/>
              <a:latin typeface="+mn-lt"/>
              <a:ea typeface="+mn-ea"/>
              <a:cs typeface="+mn-cs"/>
            </a:rPr>
            <a:t>🛒Total</a:t>
          </a:r>
          <a:r>
            <a:rPr lang="en-IN" sz="1800" b="0" i="0" u="none" strike="noStrike" baseline="0">
              <a:solidFill>
                <a:schemeClr val="bg1"/>
              </a:solidFill>
              <a:effectLst/>
              <a:latin typeface="+mn-lt"/>
              <a:ea typeface="+mn-ea"/>
              <a:cs typeface="+mn-cs"/>
            </a:rPr>
            <a:t> </a:t>
          </a:r>
          <a:r>
            <a:rPr lang="en-IN" sz="1800" b="0" i="0" u="none" strike="noStrike">
              <a:solidFill>
                <a:schemeClr val="bg1"/>
              </a:solidFill>
              <a:effectLst/>
              <a:latin typeface="+mn-lt"/>
              <a:ea typeface="+mn-ea"/>
              <a:cs typeface="+mn-cs"/>
            </a:rPr>
            <a:t>Quantity:</a:t>
          </a:r>
          <a:r>
            <a:rPr lang="en-IN" sz="1800">
              <a:effectLst/>
            </a:rPr>
            <a:t> </a:t>
          </a:r>
          <a:r>
            <a:rPr lang="en-IN" sz="1800" b="0" i="0" u="none" strike="noStrike">
              <a:solidFill>
                <a:schemeClr val="bg1"/>
              </a:solidFill>
              <a:effectLst/>
              <a:latin typeface="+mn-lt"/>
              <a:ea typeface="+mn-ea"/>
              <a:cs typeface="+mn-cs"/>
            </a:rPr>
            <a:t>11,997 </a:t>
          </a:r>
        </a:p>
      </xdr:txBody>
    </xdr:sp>
    <xdr:clientData/>
  </xdr:twoCellAnchor>
  <xdr:twoCellAnchor>
    <xdr:from>
      <xdr:col>0</xdr:col>
      <xdr:colOff>0</xdr:colOff>
      <xdr:row>10</xdr:row>
      <xdr:rowOff>34636</xdr:rowOff>
    </xdr:from>
    <xdr:to>
      <xdr:col>2</xdr:col>
      <xdr:colOff>203199</xdr:colOff>
      <xdr:row>14</xdr:row>
      <xdr:rowOff>121227</xdr:rowOff>
    </xdr:to>
    <xdr:sp macro="" textlink="">
      <xdr:nvSpPr>
        <xdr:cNvPr id="12" name="TextBox 11">
          <a:extLst>
            <a:ext uri="{FF2B5EF4-FFF2-40B4-BE49-F238E27FC236}">
              <a16:creationId xmlns:a16="http://schemas.microsoft.com/office/drawing/2014/main" id="{94944677-19DE-D4ED-7D5D-0698291F554C}"/>
            </a:ext>
          </a:extLst>
        </xdr:cNvPr>
        <xdr:cNvSpPr txBox="1"/>
      </xdr:nvSpPr>
      <xdr:spPr>
        <a:xfrm>
          <a:off x="0" y="1881909"/>
          <a:ext cx="1981199" cy="825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b="0" i="0" u="none" strike="noStrike">
              <a:solidFill>
                <a:schemeClr val="bg1"/>
              </a:solidFill>
              <a:effectLst/>
              <a:latin typeface="+mn-lt"/>
              <a:ea typeface="+mn-ea"/>
              <a:cs typeface="+mn-cs"/>
            </a:rPr>
            <a:t>💰</a:t>
          </a:r>
          <a:r>
            <a:rPr lang="en-IN" sz="1800" b="0" i="0" u="none" strike="noStrike">
              <a:solidFill>
                <a:srgbClr val="FF9933"/>
              </a:solidFill>
              <a:effectLst/>
              <a:latin typeface="+mn-lt"/>
              <a:ea typeface="+mn-ea"/>
              <a:cs typeface="+mn-cs"/>
            </a:rPr>
            <a:t>Total amount:</a:t>
          </a:r>
        </a:p>
        <a:p>
          <a:pPr marL="0" indent="0"/>
          <a:r>
            <a:rPr lang="en-IN" sz="1800" b="0" i="0" u="none" strike="noStrike" baseline="0">
              <a:solidFill>
                <a:srgbClr val="FF9933"/>
              </a:solidFill>
              <a:effectLst/>
              <a:latin typeface="+mn-lt"/>
              <a:ea typeface="+mn-ea"/>
              <a:cs typeface="+mn-cs"/>
            </a:rPr>
            <a:t>        </a:t>
          </a:r>
          <a:r>
            <a:rPr lang="en-IN" sz="1800" b="0" i="0" u="none" strike="noStrike">
              <a:solidFill>
                <a:schemeClr val="bg1"/>
              </a:solidFill>
              <a:effectLst/>
              <a:latin typeface="+mn-lt"/>
              <a:ea typeface="+mn-ea"/>
              <a:cs typeface="+mn-cs"/>
            </a:rPr>
            <a:t>$6,49,020 </a:t>
          </a:r>
        </a:p>
      </xdr:txBody>
    </xdr:sp>
    <xdr:clientData/>
  </xdr:twoCellAnchor>
  <xdr:twoCellAnchor>
    <xdr:from>
      <xdr:col>0</xdr:col>
      <xdr:colOff>1</xdr:colOff>
      <xdr:row>14</xdr:row>
      <xdr:rowOff>132772</xdr:rowOff>
    </xdr:from>
    <xdr:to>
      <xdr:col>2</xdr:col>
      <xdr:colOff>203199</xdr:colOff>
      <xdr:row>18</xdr:row>
      <xdr:rowOff>132772</xdr:rowOff>
    </xdr:to>
    <xdr:sp macro="" textlink="">
      <xdr:nvSpPr>
        <xdr:cNvPr id="13" name="TextBox 12">
          <a:extLst>
            <a:ext uri="{FF2B5EF4-FFF2-40B4-BE49-F238E27FC236}">
              <a16:creationId xmlns:a16="http://schemas.microsoft.com/office/drawing/2014/main" id="{DBDFF410-69C7-737F-3BE7-08413971FEF4}"/>
            </a:ext>
          </a:extLst>
        </xdr:cNvPr>
        <xdr:cNvSpPr txBox="1"/>
      </xdr:nvSpPr>
      <xdr:spPr>
        <a:xfrm>
          <a:off x="1" y="2718954"/>
          <a:ext cx="1981198" cy="738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b="0" i="0" u="none" strike="noStrike">
              <a:solidFill>
                <a:schemeClr val="bg1"/>
              </a:solidFill>
              <a:effectLst/>
              <a:latin typeface="+mn-lt"/>
              <a:ea typeface="+mn-ea"/>
              <a:cs typeface="+mn-cs"/>
            </a:rPr>
            <a:t>⭐Avg Rating:</a:t>
          </a:r>
          <a:r>
            <a:rPr lang="en-IN" sz="1800" b="0" i="0" u="none" strike="noStrike" baseline="0">
              <a:solidFill>
                <a:schemeClr val="bg1"/>
              </a:solidFill>
              <a:effectLst/>
              <a:latin typeface="+mn-lt"/>
              <a:ea typeface="+mn-ea"/>
              <a:cs typeface="+mn-cs"/>
            </a:rPr>
            <a:t> </a:t>
          </a:r>
        </a:p>
        <a:p>
          <a:pPr marL="0" indent="0" algn="ctr"/>
          <a:r>
            <a:rPr lang="en-IN" sz="1800" b="0" i="0" u="none" strike="noStrike">
              <a:solidFill>
                <a:schemeClr val="bg1"/>
              </a:solidFill>
              <a:effectLst/>
              <a:latin typeface="+mn-lt"/>
              <a:ea typeface="+mn-ea"/>
              <a:cs typeface="+mn-cs"/>
            </a:rPr>
            <a:t>3.96 </a:t>
          </a:r>
        </a:p>
      </xdr:txBody>
    </xdr:sp>
    <xdr:clientData/>
  </xdr:twoCellAnchor>
  <xdr:twoCellAnchor>
    <xdr:from>
      <xdr:col>0</xdr:col>
      <xdr:colOff>0</xdr:colOff>
      <xdr:row>18</xdr:row>
      <xdr:rowOff>132772</xdr:rowOff>
    </xdr:from>
    <xdr:to>
      <xdr:col>2</xdr:col>
      <xdr:colOff>203199</xdr:colOff>
      <xdr:row>22</xdr:row>
      <xdr:rowOff>132773</xdr:rowOff>
    </xdr:to>
    <xdr:sp macro="" textlink="">
      <xdr:nvSpPr>
        <xdr:cNvPr id="14" name="TextBox 13">
          <a:extLst>
            <a:ext uri="{FF2B5EF4-FFF2-40B4-BE49-F238E27FC236}">
              <a16:creationId xmlns:a16="http://schemas.microsoft.com/office/drawing/2014/main" id="{7EBE9030-0940-D007-F4B5-B4FA1C59E254}"/>
            </a:ext>
          </a:extLst>
        </xdr:cNvPr>
        <xdr:cNvSpPr txBox="1"/>
      </xdr:nvSpPr>
      <xdr:spPr>
        <a:xfrm>
          <a:off x="0" y="3457863"/>
          <a:ext cx="1981199" cy="738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b="0" i="0" u="none" strike="noStrike">
              <a:solidFill>
                <a:schemeClr val="bg1"/>
              </a:solidFill>
              <a:effectLst/>
              <a:latin typeface="+mn-lt"/>
              <a:ea typeface="+mn-ea"/>
              <a:cs typeface="+mn-cs"/>
            </a:rPr>
            <a:t>☀️Avg day deliver:  </a:t>
          </a:r>
        </a:p>
        <a:p>
          <a:pPr marL="0" indent="0" algn="ctr"/>
          <a:r>
            <a:rPr lang="en-IN" sz="1800" b="0" i="0" u="none" strike="noStrike">
              <a:solidFill>
                <a:schemeClr val="bg1"/>
              </a:solidFill>
              <a:effectLst/>
              <a:latin typeface="+mn-lt"/>
              <a:ea typeface="+mn-ea"/>
              <a:cs typeface="+mn-cs"/>
            </a:rPr>
            <a:t>2.3 </a:t>
          </a:r>
        </a:p>
      </xdr:txBody>
    </xdr:sp>
    <xdr:clientData/>
  </xdr:twoCellAnchor>
  <xdr:twoCellAnchor>
    <xdr:from>
      <xdr:col>2</xdr:col>
      <xdr:colOff>203199</xdr:colOff>
      <xdr:row>0</xdr:row>
      <xdr:rowOff>0</xdr:rowOff>
    </xdr:from>
    <xdr:to>
      <xdr:col>16</xdr:col>
      <xdr:colOff>0</xdr:colOff>
      <xdr:row>14</xdr:row>
      <xdr:rowOff>-1</xdr:rowOff>
    </xdr:to>
    <xdr:graphicFrame macro="">
      <xdr:nvGraphicFramePr>
        <xdr:cNvPr id="15" name="Chart 14">
          <a:extLst>
            <a:ext uri="{FF2B5EF4-FFF2-40B4-BE49-F238E27FC236}">
              <a16:creationId xmlns:a16="http://schemas.microsoft.com/office/drawing/2014/main" id="{AADD8EDA-08F5-4E50-A020-FDCB6274B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16</xdr:col>
          <xdr:colOff>1</xdr:colOff>
          <xdr:row>0</xdr:row>
          <xdr:rowOff>83126</xdr:rowOff>
        </xdr:from>
        <xdr:to>
          <xdr:col>26</xdr:col>
          <xdr:colOff>0</xdr:colOff>
          <xdr:row>14</xdr:row>
          <xdr:rowOff>-1</xdr:rowOff>
        </xdr:to>
        <xdr:pic>
          <xdr:nvPicPr>
            <xdr:cNvPr id="19" name="Picture 18">
              <a:extLst>
                <a:ext uri="{FF2B5EF4-FFF2-40B4-BE49-F238E27FC236}">
                  <a16:creationId xmlns:a16="http://schemas.microsoft.com/office/drawing/2014/main" id="{270EACF1-FE1B-883E-4012-EC435C2A3A84}"/>
                </a:ext>
              </a:extLst>
            </xdr:cNvPr>
            <xdr:cNvPicPr>
              <a:picLocks noChangeAspect="1" noChangeArrowheads="1"/>
              <a:extLst>
                <a:ext uri="{84589F7E-364E-4C9E-8A38-B11213B215E9}">
                  <a14:cameraTool cellRange="Pivots!$H$28:$L$33" spid="_x0000_s1036"/>
                </a:ext>
              </a:extLst>
            </xdr:cNvPicPr>
          </xdr:nvPicPr>
          <xdr:blipFill>
            <a:blip xmlns:r="http://schemas.openxmlformats.org/officeDocument/2006/relationships" r:embed="rId3"/>
            <a:srcRect/>
            <a:stretch>
              <a:fillRect/>
            </a:stretch>
          </xdr:blipFill>
          <xdr:spPr bwMode="auto">
            <a:xfrm>
              <a:off x="9582728" y="83126"/>
              <a:ext cx="5738090" cy="250305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26</xdr:col>
      <xdr:colOff>0</xdr:colOff>
      <xdr:row>0</xdr:row>
      <xdr:rowOff>83126</xdr:rowOff>
    </xdr:from>
    <xdr:to>
      <xdr:col>35</xdr:col>
      <xdr:colOff>0</xdr:colOff>
      <xdr:row>14</xdr:row>
      <xdr:rowOff>0</xdr:rowOff>
    </xdr:to>
    <xdr:graphicFrame macro="">
      <xdr:nvGraphicFramePr>
        <xdr:cNvPr id="20" name="Chart 19">
          <a:extLst>
            <a:ext uri="{FF2B5EF4-FFF2-40B4-BE49-F238E27FC236}">
              <a16:creationId xmlns:a16="http://schemas.microsoft.com/office/drawing/2014/main" id="{A2346FA6-45DA-489B-9DB0-015AC6FE5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23091</xdr:colOff>
      <xdr:row>14</xdr:row>
      <xdr:rowOff>71005</xdr:rowOff>
    </xdr:from>
    <xdr:to>
      <xdr:col>16</xdr:col>
      <xdr:colOff>0</xdr:colOff>
      <xdr:row>43</xdr:row>
      <xdr:rowOff>0</xdr:rowOff>
    </xdr:to>
    <xdr:graphicFrame macro="">
      <xdr:nvGraphicFramePr>
        <xdr:cNvPr id="21" name="Chart 20">
          <a:extLst>
            <a:ext uri="{FF2B5EF4-FFF2-40B4-BE49-F238E27FC236}">
              <a16:creationId xmlns:a16="http://schemas.microsoft.com/office/drawing/2014/main" id="{EF6DA8CA-A320-48A1-B564-77C5890D7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xdr:colOff>
      <xdr:row>14</xdr:row>
      <xdr:rowOff>73312</xdr:rowOff>
    </xdr:from>
    <xdr:to>
      <xdr:col>26</xdr:col>
      <xdr:colOff>0</xdr:colOff>
      <xdr:row>43</xdr:row>
      <xdr:rowOff>0</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0F66F1FC-B838-47FF-97D8-2B5D807C70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582728" y="2659494"/>
              <a:ext cx="5738090" cy="528377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32904</xdr:colOff>
      <xdr:row>14</xdr:row>
      <xdr:rowOff>73310</xdr:rowOff>
    </xdr:from>
    <xdr:to>
      <xdr:col>34</xdr:col>
      <xdr:colOff>611908</xdr:colOff>
      <xdr:row>26</xdr:row>
      <xdr:rowOff>184726</xdr:rowOff>
    </xdr:to>
    <xdr:graphicFrame macro="">
      <xdr:nvGraphicFramePr>
        <xdr:cNvPr id="23" name="Chart 22">
          <a:extLst>
            <a:ext uri="{FF2B5EF4-FFF2-40B4-BE49-F238E27FC236}">
              <a16:creationId xmlns:a16="http://schemas.microsoft.com/office/drawing/2014/main" id="{E2A8A525-DC69-40A1-A13F-602FAA68C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22</xdr:row>
      <xdr:rowOff>69273</xdr:rowOff>
    </xdr:from>
    <xdr:to>
      <xdr:col>17</xdr:col>
      <xdr:colOff>450273</xdr:colOff>
      <xdr:row>40</xdr:row>
      <xdr:rowOff>127001</xdr:rowOff>
    </xdr:to>
    <xdr:graphicFrame macro="">
      <xdr:nvGraphicFramePr>
        <xdr:cNvPr id="25" name="Chart 24">
          <a:extLst>
            <a:ext uri="{FF2B5EF4-FFF2-40B4-BE49-F238E27FC236}">
              <a16:creationId xmlns:a16="http://schemas.microsoft.com/office/drawing/2014/main" id="{94C75B21-2E9A-4E18-96F6-E590EFF04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32903</xdr:colOff>
      <xdr:row>27</xdr:row>
      <xdr:rowOff>103910</xdr:rowOff>
    </xdr:from>
    <xdr:to>
      <xdr:col>34</xdr:col>
      <xdr:colOff>611907</xdr:colOff>
      <xdr:row>42</xdr:row>
      <xdr:rowOff>88901</xdr:rowOff>
    </xdr:to>
    <xdr:graphicFrame macro="">
      <xdr:nvGraphicFramePr>
        <xdr:cNvPr id="24" name="Chart 23">
          <a:extLst>
            <a:ext uri="{FF2B5EF4-FFF2-40B4-BE49-F238E27FC236}">
              <a16:creationId xmlns:a16="http://schemas.microsoft.com/office/drawing/2014/main" id="{DC5D86F2-4CBF-4543-81E8-F5AC9F989F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87747</xdr:colOff>
      <xdr:row>22</xdr:row>
      <xdr:rowOff>101023</xdr:rowOff>
    </xdr:from>
    <xdr:to>
      <xdr:col>2</xdr:col>
      <xdr:colOff>138547</xdr:colOff>
      <xdr:row>32</xdr:row>
      <xdr:rowOff>0</xdr:rowOff>
    </xdr:to>
    <mc:AlternateContent xmlns:mc="http://schemas.openxmlformats.org/markup-compatibility/2006">
      <mc:Choice xmlns:a14="http://schemas.microsoft.com/office/drawing/2010/main" Requires="a14">
        <xdr:graphicFrame macro="">
          <xdr:nvGraphicFramePr>
            <xdr:cNvPr id="28" name="Order Mode 2">
              <a:extLst>
                <a:ext uri="{FF2B5EF4-FFF2-40B4-BE49-F238E27FC236}">
                  <a16:creationId xmlns:a16="http://schemas.microsoft.com/office/drawing/2014/main" id="{C0F4554D-7D3B-481C-B37B-7056FEC457A8}"/>
                </a:ext>
              </a:extLst>
            </xdr:cNvPr>
            <xdr:cNvGraphicFramePr/>
          </xdr:nvGraphicFramePr>
          <xdr:xfrm>
            <a:off x="0" y="0"/>
            <a:ext cx="0" cy="0"/>
          </xdr:xfrm>
          <a:graphic>
            <a:graphicData uri="http://schemas.microsoft.com/office/drawing/2010/slicer">
              <sle:slicer xmlns:sle="http://schemas.microsoft.com/office/drawing/2010/slicer" name="Order Mode 2"/>
            </a:graphicData>
          </a:graphic>
        </xdr:graphicFrame>
      </mc:Choice>
      <mc:Fallback>
        <xdr:sp macro="" textlink="">
          <xdr:nvSpPr>
            <xdr:cNvPr id="0" name=""/>
            <xdr:cNvSpPr>
              <a:spLocks noTextEdit="1"/>
            </xdr:cNvSpPr>
          </xdr:nvSpPr>
          <xdr:spPr>
            <a:xfrm>
              <a:off x="87747" y="4165023"/>
              <a:ext cx="1828800" cy="1746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87747</xdr:colOff>
      <xdr:row>32</xdr:row>
      <xdr:rowOff>84573</xdr:rowOff>
    </xdr:from>
    <xdr:to>
      <xdr:col>2</xdr:col>
      <xdr:colOff>138547</xdr:colOff>
      <xdr:row>41</xdr:row>
      <xdr:rowOff>0</xdr:rowOff>
    </xdr:to>
    <mc:AlternateContent xmlns:mc="http://schemas.openxmlformats.org/markup-compatibility/2006">
      <mc:Choice xmlns:a14="http://schemas.microsoft.com/office/drawing/2010/main" Requires="a14">
        <xdr:graphicFrame macro="">
          <xdr:nvGraphicFramePr>
            <xdr:cNvPr id="29" name="Gender Value">
              <a:extLst>
                <a:ext uri="{FF2B5EF4-FFF2-40B4-BE49-F238E27FC236}">
                  <a16:creationId xmlns:a16="http://schemas.microsoft.com/office/drawing/2014/main" id="{B4D96545-23BA-4B6C-B729-D3843EA71453}"/>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87747" y="5995846"/>
              <a:ext cx="1828800" cy="1577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wanth Reddy" refreshedDate="46008.437743518516" createdVersion="8" refreshedVersion="8" minRefreshableVersion="3" recordCount="2400" xr:uid="{08A464E5-091B-4A79-9719-764AEF055658}">
  <cacheSource type="worksheet">
    <worksheetSource name="orders"/>
  </cacheSource>
  <cacheFields count="16">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ount="934">
        <n v="10.9"/>
        <n v="30.6"/>
        <n v="109.4"/>
        <n v="37.700000000000003"/>
        <n v="56.7"/>
        <n v="83.5"/>
        <n v="55.3"/>
        <n v="40.299999999999997"/>
        <n v="35.700000000000003"/>
        <n v="22.4"/>
        <n v="54.4"/>
        <n v="49"/>
        <n v="118.6"/>
        <n v="88.4"/>
        <n v="66.7"/>
        <n v="30.9"/>
        <n v="31.1"/>
        <n v="36.6"/>
        <n v="51.1"/>
        <n v="25.2"/>
        <n v="43.8"/>
        <n v="46.7"/>
        <n v="79.900000000000006"/>
        <n v="26.4"/>
        <n v="88.8"/>
        <n v="17.5"/>
        <n v="38.700000000000003"/>
        <n v="57.2"/>
        <n v="50.9"/>
        <n v="41"/>
        <n v="19.100000000000001"/>
        <n v="166.1"/>
        <n v="29.9"/>
        <n v="21.7"/>
        <n v="32"/>
        <n v="15.8"/>
        <n v="203.1"/>
        <n v="39"/>
        <n v="26.5"/>
        <n v="43.1"/>
        <n v="139"/>
        <n v="80.7"/>
        <n v="54.5"/>
        <n v="68.599999999999994"/>
        <n v="135.9"/>
        <n v="70.900000000000006"/>
        <n v="63.7"/>
        <n v="29.7"/>
        <n v="26.8"/>
        <n v="27"/>
        <n v="41.4"/>
        <n v="24.3"/>
        <n v="41.7"/>
        <n v="18"/>
        <n v="91.3"/>
        <n v="19.3"/>
        <n v="63.2"/>
        <n v="33.299999999999997"/>
        <n v="64.2"/>
        <n v="23.1"/>
        <n v="71.099999999999994"/>
        <n v="11.5"/>
        <n v="69.2"/>
        <n v="31.2"/>
        <n v="113.2"/>
        <n v="21"/>
        <n v="89.1"/>
        <n v="97.7"/>
        <n v="47.4"/>
        <n v="89.6"/>
        <n v="28.4"/>
        <n v="17.899999999999999"/>
        <n v="48.4"/>
        <n v="44.4"/>
        <n v="103.7"/>
        <n v="58.6"/>
        <n v="54.8"/>
        <n v="78.8"/>
        <n v="36.799999999999997"/>
        <n v="50.6"/>
        <n v="41.8"/>
        <n v="77.3"/>
        <n v="19.8"/>
        <n v="15.5"/>
        <n v="46.8"/>
        <n v="28.6"/>
        <n v="54.7"/>
        <n v="130.5"/>
        <n v="50.4"/>
        <n v="61.5"/>
        <n v="30.1"/>
        <n v="74.8"/>
        <n v="64.900000000000006"/>
        <n v="50.5"/>
        <n v="63"/>
        <n v="93.6"/>
        <n v="160"/>
        <n v="10.5"/>
        <n v="53"/>
        <n v="18.5"/>
        <n v="84.5"/>
        <n v="32.6"/>
        <n v="45.4"/>
        <n v="120"/>
        <n v="18.899999999999999"/>
        <n v="37.299999999999997"/>
        <n v="119.8"/>
        <n v="76.5"/>
        <n v="45.7"/>
        <n v="92.6"/>
        <n v="60.1"/>
        <n v="73"/>
        <n v="44.3"/>
        <n v="63.3"/>
        <n v="66.8"/>
        <n v="59.7"/>
        <n v="92"/>
        <n v="87.6"/>
        <n v="116.3"/>
        <n v="52.7"/>
        <n v="34.200000000000003"/>
        <n v="23.3"/>
        <n v="25.9"/>
        <n v="54.9"/>
        <n v="75.8"/>
        <n v="44.9"/>
        <n v="48.8"/>
        <n v="20.3"/>
        <n v="36.4"/>
        <n v="19"/>
        <n v="17.8"/>
        <n v="139.6"/>
        <n v="31.7"/>
        <n v="26.3"/>
        <n v="47.8"/>
        <n v="69.400000000000006"/>
        <n v="25.8"/>
        <n v="15.7"/>
        <n v="39.700000000000003"/>
        <n v="23.4"/>
        <n v="57.1"/>
        <n v="89.9"/>
        <n v="48.1"/>
        <n v="29.3"/>
        <n v="28.8"/>
        <n v="40.5"/>
        <n v="65.099999999999994"/>
        <n v="51.8"/>
        <n v="61.3"/>
        <n v="122.5"/>
        <n v="12.5"/>
        <n v="37.5"/>
        <n v="40"/>
        <n v="38.5"/>
        <n v="86.4"/>
        <n v="50.7"/>
        <n v="61"/>
        <n v="19.899999999999999"/>
        <n v="78.3"/>
        <n v="10.4"/>
        <n v="36.1"/>
        <n v="17.3"/>
        <n v="30.5"/>
        <n v="70.099999999999994"/>
        <n v="76.099999999999994"/>
        <n v="30.3"/>
        <n v="52.5"/>
        <n v="28.7"/>
        <n v="52"/>
        <n v="13.3"/>
        <n v="25.6"/>
        <n v="43.4"/>
        <n v="33.4"/>
        <n v="55"/>
        <n v="23.6"/>
        <n v="104"/>
        <n v="34.5"/>
        <n v="131.5"/>
        <n v="10.199999999999999"/>
        <n v="50.8"/>
        <n v="39.6"/>
        <n v="69.5"/>
        <n v="49.1"/>
        <n v="49.4"/>
        <n v="52.1"/>
        <n v="129.19999999999999"/>
        <n v="81.8"/>
        <n v="24.9"/>
        <n v="22.7"/>
        <n v="109.1"/>
        <n v="53.9"/>
        <n v="21.2"/>
        <n v="69"/>
        <n v="46.2"/>
        <n v="97.4"/>
        <n v="32.700000000000003"/>
        <n v="48"/>
        <n v="68.2"/>
        <n v="62.1"/>
        <n v="33.1"/>
        <n v="35.200000000000003"/>
        <n v="32.1"/>
        <n v="38.1"/>
        <n v="65.2"/>
        <n v="55.2"/>
        <n v="62"/>
        <n v="45.9"/>
        <n v="58.3"/>
        <n v="22.3"/>
        <n v="24"/>
        <n v="21.3"/>
        <n v="57.8"/>
        <n v="67.599999999999994"/>
        <n v="53.1"/>
        <n v="57.4"/>
        <n v="58.1"/>
        <n v="31.8"/>
        <n v="31.5"/>
        <n v="55.9"/>
        <n v="47.3"/>
        <n v="82.5"/>
        <n v="14.3"/>
        <n v="57.6"/>
        <n v="142.4"/>
        <n v="30.2"/>
        <n v="65.3"/>
        <n v="45.1"/>
        <n v="61.7"/>
        <n v="17.600000000000001"/>
        <n v="11.3"/>
        <n v="53.4"/>
        <n v="27.5"/>
        <n v="33.5"/>
        <n v="59.5"/>
        <n v="23.5"/>
        <n v="49.7"/>
        <n v="44.2"/>
        <n v="22.1"/>
        <n v="90.9"/>
        <n v="44.5"/>
        <n v="32.299999999999997"/>
        <n v="87.5"/>
        <n v="48.7"/>
        <n v="22.5"/>
        <n v="65.900000000000006"/>
        <n v="41.9"/>
        <n v="67.5"/>
        <n v="60.4"/>
        <n v="30.4"/>
        <n v="24.5"/>
        <n v="105.9"/>
        <n v="112.3"/>
        <n v="94.1"/>
        <n v="40.700000000000003"/>
        <n v="71.400000000000006"/>
        <n v="15.6"/>
        <n v="37.799999999999997"/>
        <n v="28.1"/>
        <n v="51.4"/>
        <n v="63.8"/>
        <n v="20.100000000000001"/>
        <n v="16.2"/>
        <n v="80.900000000000006"/>
        <n v="95.2"/>
        <n v="70.400000000000006"/>
        <n v="10.7"/>
        <n v="19.600000000000001"/>
        <n v="34.700000000000003"/>
        <n v="34.1"/>
        <n v="26"/>
        <n v="14.2"/>
        <n v="34.9"/>
        <n v="42.7"/>
        <n v="23.9"/>
        <n v="124.3"/>
        <n v="35.9"/>
        <n v="69.099999999999994"/>
        <n v="58.4"/>
        <n v="24.4"/>
        <n v="100"/>
        <n v="43"/>
        <n v="64.400000000000006"/>
        <n v="55.1"/>
        <n v="93.3"/>
        <n v="158.19999999999999"/>
        <n v="74.900000000000006"/>
        <n v="48.5"/>
        <n v="98.9"/>
        <n v="84.7"/>
        <n v="20.7"/>
        <n v="106.9"/>
        <n v="45.2"/>
        <n v="34.6"/>
        <n v="20.399999999999999"/>
        <n v="36.700000000000003"/>
        <n v="27.2"/>
        <n v="58.2"/>
        <n v="48.2"/>
        <n v="83.4"/>
        <n v="45.3"/>
        <n v="42"/>
        <n v="21.8"/>
        <n v="21.4"/>
        <n v="45"/>
        <n v="79.8"/>
        <n v="63.6"/>
        <n v="92.7"/>
        <n v="36"/>
        <n v="49.9"/>
        <n v="51.7"/>
        <n v="36.200000000000003"/>
        <n v="150.9"/>
        <n v="77.599999999999994"/>
        <n v="65.5"/>
        <n v="90.1"/>
        <n v="108.3"/>
        <n v="59.9"/>
        <n v="87.3"/>
        <n v="42.3"/>
        <n v="103.6"/>
        <n v="100.9"/>
        <n v="83.3"/>
        <n v="60.3"/>
        <n v="120.3"/>
        <n v="34"/>
        <n v="42.6"/>
        <n v="74"/>
        <n v="69.3"/>
        <n v="81"/>
        <n v="41.5"/>
        <n v="69.7"/>
        <n v="83.6"/>
        <n v="21.5"/>
        <n v="18.8"/>
        <n v="35.1"/>
        <n v="12.7"/>
        <n v="27.4"/>
        <n v="64.7"/>
        <n v="91.4"/>
        <n v="105.6"/>
        <n v="46.4"/>
        <n v="35.299999999999997"/>
        <n v="16.100000000000001"/>
        <n v="27.9"/>
        <n v="47.1"/>
        <n v="85"/>
        <n v="89"/>
        <n v="43.5"/>
        <n v="107.7"/>
        <n v="111.7"/>
        <n v="95.8"/>
        <n v="22.6"/>
        <n v="54.3"/>
        <n v="51.3"/>
        <n v="46.1"/>
        <n v="36.5"/>
        <n v="47.5"/>
        <n v="45.6"/>
        <n v="99.8"/>
        <n v="19.2"/>
        <n v="126.9"/>
        <n v="100.3"/>
        <n v="24.6"/>
        <n v="40.799999999999997"/>
        <n v="49.2"/>
        <n v="28.5"/>
        <n v="62.5"/>
        <n v="47.9"/>
        <n v="92.9"/>
        <n v="44.1"/>
        <n v="11.4"/>
        <n v="83.7"/>
        <n v="23.2"/>
        <n v="162.1"/>
        <n v="75.3"/>
        <n v="31.3"/>
        <n v="85.4"/>
        <n v="114.8"/>
        <n v="73.2"/>
        <n v="48.6"/>
        <n v="32.200000000000003"/>
        <n v="94.8"/>
        <n v="56.8"/>
        <n v="18.3"/>
        <n v="16.8"/>
        <n v="35.799999999999997"/>
        <n v="103.5"/>
        <n v="41.2"/>
        <n v="15.2"/>
        <n v="27.7"/>
        <n v="20.8"/>
        <n v="72.7"/>
        <n v="38.6"/>
        <n v="69.599999999999994"/>
        <n v="42.4"/>
        <n v="58.9"/>
        <n v="59.8"/>
        <n v="41.3"/>
        <n v="16"/>
        <n v="27.1"/>
        <n v="38.9"/>
        <n v="10.8"/>
        <n v="29.2"/>
        <n v="25.1"/>
        <n v="65.599999999999994"/>
        <n v="57.3"/>
        <n v="39.200000000000003"/>
        <n v="62.7"/>
        <n v="11.2"/>
        <n v="22.9"/>
        <n v="37.6"/>
        <n v="90.5"/>
        <n v="33.9"/>
        <n v="32.799999999999997"/>
        <n v="79.2"/>
        <n v="19.5"/>
        <n v="167.2"/>
        <n v="74.5"/>
        <n v="39.299999999999997"/>
        <n v="68.5"/>
        <n v="94"/>
        <n v="21.9"/>
        <n v="52.9"/>
        <n v="25.5"/>
        <n v="51.9"/>
        <n v="46.3"/>
        <n v="11.9"/>
        <n v="63.5"/>
        <n v="82.1"/>
        <n v="42.9"/>
        <n v="37.9"/>
        <n v="70.599999999999994"/>
        <n v="49.5"/>
        <n v="96.6"/>
        <n v="52.8"/>
        <n v="101.7"/>
        <n v="26.9"/>
        <n v="211"/>
        <n v="21.1"/>
        <n v="26.6"/>
        <n v="51.2"/>
        <n v="10.6"/>
        <n v="80"/>
        <n v="42.8"/>
        <n v="64.099999999999994"/>
        <n v="83.1"/>
        <n v="40.9"/>
        <n v="125.7"/>
        <n v="56.5"/>
        <n v="85.8"/>
        <n v="66.599999999999994"/>
        <n v="70.3"/>
        <n v="31"/>
        <n v="81.599999999999994"/>
        <n v="80.2"/>
        <n v="15.4"/>
        <n v="65.400000000000006"/>
        <n v="26.2"/>
        <n v="43.6"/>
        <n v="53.2"/>
        <n v="105.4"/>
        <n v="57.7"/>
        <n v="72.400000000000006"/>
        <n v="11.6"/>
        <n v="40.1"/>
        <n v="18.600000000000001"/>
        <n v="58.8"/>
        <n v="114.9"/>
        <n v="20.6"/>
        <n v="67.900000000000006"/>
        <n v="62.4"/>
        <n v="70.8"/>
        <n v="56.6"/>
        <n v="78.400000000000006"/>
        <n v="122.1"/>
        <n v="97.9"/>
        <n v="15"/>
        <n v="94.6"/>
        <n v="19.7"/>
        <n v="86.8"/>
        <n v="61.6"/>
        <n v="130.69999999999999"/>
        <n v="94.4"/>
        <n v="23.7"/>
        <n v="37.4"/>
        <n v="105"/>
        <n v="24.8"/>
        <n v="75"/>
        <n v="169.9"/>
        <n v="72.2"/>
        <n v="20"/>
        <n v="58"/>
        <n v="74.7"/>
        <n v="128.19999999999999"/>
        <n v="26.7"/>
        <n v="55.6"/>
        <n v="15.9"/>
        <n v="64.8"/>
        <n v="32.4"/>
        <n v="177.4"/>
        <n v="30"/>
        <n v="61.1"/>
        <n v="55.8"/>
        <n v="14.6"/>
        <n v="32.5"/>
        <n v="78.099999999999994"/>
        <n v="110.2"/>
        <n v="86.3"/>
        <n v="73.599999999999994"/>
        <n v="67.7"/>
        <n v="142.19999999999999"/>
        <n v="45.8"/>
        <n v="24.2"/>
        <n v="144.9"/>
        <n v="54.6"/>
        <n v="52.4"/>
        <n v="144.4"/>
        <n v="117.5"/>
        <n v="105.7"/>
        <n v="133.69999999999999"/>
        <n v="92.3"/>
        <n v="81.7"/>
        <n v="43.2"/>
        <n v="59.1"/>
        <n v="72.8"/>
        <n v="137.30000000000001"/>
        <n v="53.7"/>
        <n v="88.9"/>
        <n v="46.9"/>
        <n v="118.7"/>
        <n v="60.5"/>
        <n v="112"/>
        <n v="33.700000000000003"/>
        <n v="35.6"/>
        <n v="50.2"/>
        <n v="43.7"/>
        <n v="15.1"/>
        <n v="118.2"/>
        <n v="28.9"/>
        <n v="99.4"/>
        <n v="102.5"/>
        <n v="31.4"/>
        <n v="59.3"/>
        <n v="98.6"/>
        <n v="46"/>
        <n v="38"/>
        <n v="79.7"/>
        <n v="61.8"/>
        <n v="44"/>
        <n v="95.7"/>
        <n v="47.2"/>
        <n v="57"/>
        <n v="60.7"/>
        <n v="60.8"/>
        <n v="64.599999999999994"/>
        <n v="84.9"/>
        <n v="62.3"/>
        <n v="39.5"/>
        <n v="96"/>
        <n v="72.599999999999994"/>
        <n v="115.1"/>
        <n v="79"/>
        <n v="107.9"/>
        <n v="66.5"/>
        <n v="84.8"/>
        <n v="63.9"/>
        <n v="116.2"/>
        <n v="42.2"/>
        <n v="94.7"/>
        <n v="16.7"/>
        <n v="33.6"/>
        <n v="37"/>
        <n v="55.5"/>
        <n v="95.3"/>
        <n v="52.3"/>
        <n v="112.2"/>
        <n v="56.4"/>
        <n v="75.5"/>
        <n v="70.7"/>
        <n v="70"/>
        <n v="20.5"/>
        <n v="29.1"/>
        <n v="53.6"/>
        <n v="72.3"/>
        <n v="133.80000000000001"/>
        <n v="18.7"/>
        <n v="108.8"/>
        <n v="46.5"/>
        <n v="20.9"/>
        <n v="53.8"/>
        <n v="31.9"/>
        <n v="48.3"/>
        <n v="21.6"/>
        <n v="103"/>
        <n v="46.6"/>
        <n v="22"/>
        <n v="68.7"/>
        <n v="22.2"/>
        <n v="71.599999999999994"/>
        <n v="51.5"/>
        <n v="45.5"/>
        <n v="33.799999999999997"/>
        <n v="85.3"/>
        <n v="74.400000000000006"/>
        <n v="11.8"/>
        <n v="24.7"/>
        <n v="18.100000000000001"/>
        <n v="30.8"/>
        <n v="12"/>
        <n v="13.6"/>
        <n v="111.4"/>
        <n v="80.3"/>
        <n v="50.3"/>
        <n v="44.7"/>
        <n v="33"/>
        <n v="26.1"/>
        <n v="167.9"/>
        <n v="104.5"/>
        <n v="67.3"/>
        <n v="32.9"/>
        <n v="100.8"/>
        <n v="166.2"/>
        <n v="116.6"/>
        <n v="56.2"/>
        <n v="42.1"/>
        <n v="22.8"/>
        <n v="171.1"/>
        <n v="28"/>
        <n v="56"/>
        <n v="38.299999999999997"/>
        <n v="30.7"/>
        <n v="25.3"/>
        <n v="39.4"/>
        <n v="66.400000000000006"/>
        <n v="56.1"/>
        <n v="58.5"/>
        <n v="84.2"/>
        <n v="135"/>
        <n v="92.2"/>
        <n v="16.600000000000001"/>
        <n v="176.7"/>
        <n v="54"/>
        <n v="47"/>
        <n v="110.9"/>
        <n v="39.1"/>
        <n v="208.6"/>
        <n v="27.8"/>
        <n v="29.4"/>
        <n v="174.1"/>
        <n v="106.6"/>
        <n v="119.7"/>
        <n v="73.3"/>
        <n v="139.19999999999999"/>
        <n v="104.4"/>
        <n v="41.6"/>
        <n v="16.399999999999999"/>
        <n v="122.7"/>
        <n v="68.400000000000006"/>
        <n v="117"/>
        <n v="49.6"/>
        <n v="49.3"/>
        <n v="24.1"/>
        <n v="149.6"/>
        <n v="129.1"/>
        <n v="40.4"/>
        <n v="38.799999999999997"/>
        <n v="68"/>
        <n v="66.2"/>
        <n v="66.900000000000006"/>
        <n v="29.5"/>
        <n v="115"/>
        <n v="109.3"/>
        <n v="47.7"/>
        <n v="70.2"/>
        <n v="71.5"/>
        <n v="112.9"/>
        <n v="159.69999999999999"/>
        <n v="91.1"/>
        <n v="15.3"/>
        <n v="25.7"/>
        <n v="31.6"/>
        <n v="106.1"/>
        <n v="82.9"/>
        <n v="107.1"/>
        <n v="59.6"/>
        <n v="78.7"/>
        <n v="29.6"/>
        <n v="42.5"/>
        <n v="154.80000000000001"/>
        <n v="88.6"/>
        <n v="29"/>
        <n v="87.4"/>
        <n v="141"/>
        <n v="77.5"/>
        <n v="163"/>
        <n v="34.299999999999997"/>
        <n v="117.2"/>
        <n v="80.5"/>
        <n v="106.2"/>
        <n v="52.6"/>
        <n v="134.9"/>
        <n v="60.6"/>
        <n v="187.1"/>
        <n v="110.8"/>
        <n v="68.3"/>
        <n v="43.3"/>
        <n v="54.2"/>
        <n v="51"/>
        <n v="220.3"/>
        <n v="97.8"/>
        <n v="77.900000000000006"/>
        <n v="36.9"/>
        <n v="190.4"/>
        <n v="121.9"/>
        <n v="149.19999999999999"/>
        <n v="54.1"/>
        <n v="78.599999999999994"/>
        <n v="134.80000000000001"/>
        <n v="215.6"/>
        <n v="37.1"/>
        <n v="104.8"/>
        <n v="59"/>
        <n v="40.6"/>
        <n v="88.7"/>
        <n v="86.9"/>
        <n v="68.900000000000006"/>
        <n v="84"/>
        <n v="17.2"/>
        <n v="51.6"/>
        <n v="98"/>
        <n v="66.3"/>
        <n v="127.6"/>
        <n v="95.9"/>
        <n v="105.3"/>
        <n v="63.4"/>
        <n v="68.099999999999994"/>
        <n v="20.2"/>
        <n v="59.2"/>
        <n v="60.2"/>
        <n v="91.5"/>
        <n v="55.7"/>
        <n v="76.7"/>
        <n v="28.2"/>
        <n v="93.2"/>
        <n v="85.2"/>
        <n v="88"/>
        <n v="74.099999999999994"/>
        <n v="161.9"/>
        <n v="67.400000000000006"/>
        <n v="115.2"/>
        <n v="61.2"/>
        <n v="38.200000000000003"/>
        <n v="74.599999999999994"/>
        <n v="85.7"/>
        <n v="92.1"/>
        <n v="29.8"/>
        <n v="108.9"/>
        <n v="66.099999999999994"/>
        <n v="41.1"/>
        <n v="39.799999999999997"/>
        <n v="71.3"/>
        <n v="64"/>
        <n v="18.2"/>
        <n v="90.4"/>
        <n v="125.9"/>
        <n v="99.5"/>
        <n v="34.4"/>
        <n v="76.2"/>
        <n v="85.6"/>
        <n v="25"/>
        <n v="150.69999999999999"/>
        <n v="17"/>
        <n v="103.2"/>
        <n v="73.8"/>
        <n v="71.900000000000006"/>
        <n v="35"/>
        <n v="121"/>
        <n v="77.7"/>
        <n v="124.1"/>
        <n v="66"/>
        <n v="64.3"/>
        <n v="158.5"/>
        <n v="107.8"/>
        <n v="67.099999999999994"/>
        <n v="132.1"/>
        <n v="58.7"/>
        <n v="144.69999999999999"/>
        <n v="57.9"/>
        <n v="44.8"/>
        <n v="53.5"/>
        <n v="37.200000000000003"/>
        <n v="36.299999999999997"/>
        <n v="110.5"/>
        <n v="52.2"/>
        <n v="68.8"/>
        <n v="128.80000000000001"/>
        <n v="115.9"/>
        <n v="86"/>
        <n v="84.6"/>
        <n v="123.9"/>
        <n v="118.3"/>
        <n v="121.6"/>
        <n v="115.7"/>
        <n v="35.5"/>
        <n v="85.9"/>
        <n v="28.3"/>
        <n v="163.30000000000001"/>
        <n v="27.3"/>
        <n v="87.2"/>
        <n v="125.5"/>
        <n v="124.6"/>
        <n v="39.9"/>
        <n v="96.5"/>
        <n v="86.1"/>
        <n v="115.4"/>
        <n v="176.5"/>
        <n v="48.9"/>
        <n v="118.5"/>
        <n v="97.5"/>
        <n v="133"/>
        <n v="91.2"/>
        <n v="62.9"/>
        <n v="12.4"/>
        <n v="76"/>
        <n v="93.4"/>
        <n v="143.19999999999999"/>
        <n v="13.7"/>
        <n v="80.8"/>
        <n v="76.8"/>
        <n v="62.6"/>
        <n v="81.2"/>
        <n v="95"/>
        <n v="172.1"/>
        <n v="233"/>
        <n v="65.8"/>
        <n v="102.4"/>
        <n v="75.900000000000006"/>
        <n v="136.5"/>
        <n v="140.69999999999999"/>
        <n v="135.1"/>
        <n v="95.5"/>
        <n v="60"/>
        <n v="55.4"/>
        <n v="27.6"/>
        <n v="82.4"/>
        <n v="84.4"/>
        <n v="33.200000000000003"/>
        <n v="124.2"/>
        <n v="217"/>
        <n v="97.3"/>
        <n v="49.8"/>
        <n v="111.1"/>
        <n v="104.7"/>
        <n v="80.599999999999994"/>
        <n v="61.4"/>
        <n v="25.4"/>
        <n v="18.399999999999999"/>
        <n v="16.3"/>
        <n v="73.900000000000006"/>
        <n v="75.599999999999994"/>
        <n v="11.7"/>
        <n v="83.8"/>
        <n v="14"/>
        <n v="76.900000000000006"/>
        <n v="94.5"/>
        <n v="152.19999999999999"/>
        <n v="72"/>
        <n v="107.5"/>
        <n v="123.1"/>
        <n v="50.1"/>
        <n v="81.400000000000006"/>
        <n v="97.6"/>
        <n v="84.3"/>
        <n v="117.9"/>
        <n v="85.1"/>
        <n v="100.7"/>
        <n v="97"/>
        <n v="12.2"/>
        <n v="151"/>
        <n v="16.5"/>
        <n v="176"/>
        <n v="56.9"/>
        <n v="105.2"/>
        <n v="84.1"/>
        <n v="57.5"/>
        <n v="12.8"/>
        <n v="115.3"/>
        <n v="23"/>
        <n v="13.2"/>
        <n v="80.099999999999994"/>
        <n v="83.2"/>
        <n v="157"/>
        <n v="107.4"/>
        <n v="17.399999999999999"/>
        <n v="234.7"/>
        <n v="93.9"/>
        <n v="187"/>
        <n v="76.599999999999994"/>
        <n v="78.5"/>
        <n v="72.900000000000006"/>
        <n v="96.7"/>
        <n v="106"/>
        <n v="80.400000000000006"/>
        <n v="76.400000000000006"/>
        <n v="102.3"/>
        <n v="13.8"/>
        <n v="121.3"/>
        <n v="145.69999999999999"/>
        <n v="35.4"/>
        <n v="85.5"/>
        <n v="43.9"/>
        <n v="70.5"/>
        <n v="154.4"/>
        <n v="75.400000000000006"/>
        <n v="208.2"/>
        <n v="118.4"/>
        <n v="125.3"/>
        <n v="182.3"/>
        <n v="19.399999999999999"/>
        <n v="101.4"/>
        <n v="109.2"/>
        <n v="82.8"/>
        <n v="83.9"/>
        <n v="92.4"/>
        <n v="152.6"/>
        <n v="71.7"/>
        <n v="44.6"/>
        <n v="153.6"/>
        <n v="71.8"/>
        <n v="16.899999999999999"/>
        <n v="121.4"/>
        <n v="40.200000000000003"/>
        <n v="12.3"/>
        <n v="117.8"/>
      </sharedItems>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fieldGroup base="12">
        <rangePr startNum="0" endNum="14" groupInterval="5"/>
        <groupItems count="5">
          <s v="&lt;0"/>
          <s v="0-4"/>
          <s v="5-9"/>
          <s v="10-14"/>
          <s v="&gt;15"/>
        </groupItems>
      </fieldGroup>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5"/>
          <x v="5"/>
          <x v="6"/>
          <x v="5"/>
          <x v="5"/>
          <x v="3"/>
          <x v="6"/>
          <x v="5"/>
          <x v="4"/>
          <x v="5"/>
          <x v="6"/>
          <x v="5"/>
          <x v="6"/>
          <x v="6"/>
          <x v="6"/>
          <x v="6"/>
          <x v="5"/>
          <x v="5"/>
          <x v="6"/>
          <x v="6"/>
          <x v="6"/>
          <x v="6"/>
          <x v="6"/>
          <x v="6"/>
          <x v="6"/>
          <x v="6"/>
          <x v="6"/>
          <x v="6"/>
          <x v="6"/>
          <x v="6"/>
          <x v="6"/>
          <x v="6"/>
          <x v="6"/>
          <x v="6"/>
          <x v="6"/>
          <x v="6"/>
          <x v="6"/>
          <x v="6"/>
          <x v="6"/>
          <x v="6"/>
          <x v="6"/>
          <x v="6"/>
          <x v="6"/>
          <x v="6"/>
        </discretePr>
        <groupItems count="7">
          <n v="1"/>
          <n v="2"/>
          <n v="3"/>
          <n v="5"/>
          <n v="4"/>
          <s v="Group1"/>
          <s v="Group2"/>
        </groupItems>
      </fieldGroup>
    </cacheField>
  </cacheFields>
  <extLst>
    <ext xmlns:x14="http://schemas.microsoft.com/office/spreadsheetml/2009/9/main" uri="{725AE2AE-9491-48be-B2B4-4EB974FC3084}">
      <x14:pivotCacheDefinition pivotCacheId="16875675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x v="0"/>
    <n v="10.9"/>
    <d v="2025-01-01T00:00:00"/>
    <d v="2025-01-06T00:00:00"/>
    <x v="0"/>
    <x v="0"/>
    <x v="0"/>
    <x v="0"/>
    <x v="0"/>
    <x v="0"/>
    <x v="0"/>
    <x v="0"/>
  </r>
  <r>
    <s v="TX500002"/>
    <x v="1"/>
    <x v="1"/>
    <x v="1"/>
    <n v="61.2"/>
    <d v="2025-01-01T00:00:00"/>
    <d v="2025-01-03T00:00:00"/>
    <x v="1"/>
    <x v="0"/>
    <x v="0"/>
    <x v="0"/>
    <x v="1"/>
    <x v="1"/>
    <x v="0"/>
    <x v="1"/>
  </r>
  <r>
    <s v="TX500003"/>
    <x v="2"/>
    <x v="2"/>
    <x v="2"/>
    <n v="328.20000000000005"/>
    <d v="2025-01-01T00:00:00"/>
    <d v="2025-01-04T00:00:00"/>
    <x v="2"/>
    <x v="0"/>
    <x v="1"/>
    <x v="0"/>
    <x v="2"/>
    <x v="2"/>
    <x v="0"/>
    <x v="2"/>
  </r>
  <r>
    <s v="TX500004"/>
    <x v="3"/>
    <x v="3"/>
    <x v="3"/>
    <n v="263.90000000000003"/>
    <d v="2025-01-01T00:00:00"/>
    <d v="2025-01-02T00:00:00"/>
    <x v="2"/>
    <x v="0"/>
    <x v="0"/>
    <x v="0"/>
    <x v="2"/>
    <x v="3"/>
    <x v="0"/>
    <x v="2"/>
  </r>
  <r>
    <s v="TX500005"/>
    <x v="4"/>
    <x v="2"/>
    <x v="4"/>
    <n v="170.10000000000002"/>
    <d v="2025-01-01T00:00:00"/>
    <d v="2025-01-04T00:00:00"/>
    <x v="2"/>
    <x v="0"/>
    <x v="2"/>
    <x v="0"/>
    <x v="3"/>
    <x v="2"/>
    <x v="0"/>
    <x v="2"/>
  </r>
  <r>
    <s v="TX500006"/>
    <x v="1"/>
    <x v="4"/>
    <x v="5"/>
    <n v="1002"/>
    <d v="2025-01-01T00:00:00"/>
    <d v="2025-01-04T00:00:00"/>
    <x v="1"/>
    <x v="1"/>
    <x v="0"/>
    <x v="0"/>
    <x v="3"/>
    <x v="2"/>
    <x v="0"/>
    <x v="1"/>
  </r>
  <r>
    <s v="TX500007"/>
    <x v="5"/>
    <x v="0"/>
    <x v="6"/>
    <n v="55.3"/>
    <d v="2025-01-01T00:00:00"/>
    <d v="2025-01-02T00:00:00"/>
    <x v="2"/>
    <x v="0"/>
    <x v="0"/>
    <x v="0"/>
    <x v="3"/>
    <x v="3"/>
    <x v="0"/>
    <x v="2"/>
  </r>
  <r>
    <s v="TX500008"/>
    <x v="6"/>
    <x v="1"/>
    <x v="7"/>
    <n v="80.599999999999994"/>
    <d v="2025-01-01T00:00:00"/>
    <d v="2025-01-02T00:00:00"/>
    <x v="1"/>
    <x v="2"/>
    <x v="2"/>
    <x v="0"/>
    <x v="3"/>
    <x v="3"/>
    <x v="0"/>
    <x v="1"/>
  </r>
  <r>
    <s v="TX500009"/>
    <x v="7"/>
    <x v="5"/>
    <x v="8"/>
    <n v="392.70000000000005"/>
    <d v="2025-01-01T00:00:00"/>
    <d v="2025-01-02T00:00:00"/>
    <x v="2"/>
    <x v="0"/>
    <x v="0"/>
    <x v="0"/>
    <x v="3"/>
    <x v="3"/>
    <x v="0"/>
    <x v="2"/>
  </r>
  <r>
    <s v="TX500010"/>
    <x v="8"/>
    <x v="3"/>
    <x v="9"/>
    <n v="156.79999999999998"/>
    <d v="2025-01-01T00:00:00"/>
    <d v="2025-01-04T00:00:00"/>
    <x v="1"/>
    <x v="0"/>
    <x v="1"/>
    <x v="0"/>
    <x v="3"/>
    <x v="2"/>
    <x v="0"/>
    <x v="1"/>
  </r>
  <r>
    <s v="TX500011"/>
    <x v="9"/>
    <x v="1"/>
    <x v="10"/>
    <n v="108.8"/>
    <d v="2025-01-01T00:00:00"/>
    <d v="2025-01-07T00:00:00"/>
    <x v="2"/>
    <x v="0"/>
    <x v="0"/>
    <x v="0"/>
    <x v="3"/>
    <x v="4"/>
    <x v="0"/>
    <x v="2"/>
  </r>
  <r>
    <s v="TX500012"/>
    <x v="9"/>
    <x v="1"/>
    <x v="11"/>
    <n v="98"/>
    <d v="2025-01-01T00:00:00"/>
    <d v="2025-01-03T00:00:00"/>
    <x v="2"/>
    <x v="2"/>
    <x v="1"/>
    <x v="0"/>
    <x v="3"/>
    <x v="1"/>
    <x v="0"/>
    <x v="2"/>
  </r>
  <r>
    <s v="TX500013"/>
    <x v="5"/>
    <x v="3"/>
    <x v="12"/>
    <n v="830.19999999999993"/>
    <d v="2025-01-01T00:00:00"/>
    <d v="2025-01-05T00:00:00"/>
    <x v="2"/>
    <x v="1"/>
    <x v="0"/>
    <x v="0"/>
    <x v="4"/>
    <x v="5"/>
    <x v="0"/>
    <x v="2"/>
  </r>
  <r>
    <s v="TX500014"/>
    <x v="6"/>
    <x v="6"/>
    <x v="13"/>
    <n v="2386.8000000000002"/>
    <d v="2025-01-01T00:00:00"/>
    <d v="2025-01-08T00:00:00"/>
    <x v="1"/>
    <x v="3"/>
    <x v="0"/>
    <x v="0"/>
    <x v="5"/>
    <x v="6"/>
    <x v="0"/>
    <x v="1"/>
  </r>
  <r>
    <s v="TX500015"/>
    <x v="10"/>
    <x v="0"/>
    <x v="14"/>
    <n v="66.7"/>
    <d v="2025-01-01T00:00:00"/>
    <d v="2025-01-04T00:00:00"/>
    <x v="1"/>
    <x v="0"/>
    <x v="0"/>
    <x v="0"/>
    <x v="6"/>
    <x v="2"/>
    <x v="0"/>
    <x v="1"/>
  </r>
  <r>
    <s v="TX500016"/>
    <x v="9"/>
    <x v="7"/>
    <x v="15"/>
    <n v="309"/>
    <d v="2025-01-01T00:00:00"/>
    <d v="2025-01-02T00:00:00"/>
    <x v="1"/>
    <x v="1"/>
    <x v="2"/>
    <x v="0"/>
    <x v="6"/>
    <x v="3"/>
    <x v="0"/>
    <x v="1"/>
  </r>
  <r>
    <s v="TX500017"/>
    <x v="4"/>
    <x v="2"/>
    <x v="16"/>
    <n v="93.300000000000011"/>
    <d v="2025-01-01T00:00:00"/>
    <d v="2025-01-02T00:00:00"/>
    <x v="2"/>
    <x v="0"/>
    <x v="1"/>
    <x v="0"/>
    <x v="6"/>
    <x v="3"/>
    <x v="0"/>
    <x v="2"/>
  </r>
  <r>
    <s v="TX500018"/>
    <x v="7"/>
    <x v="2"/>
    <x v="17"/>
    <n v="109.80000000000001"/>
    <d v="2025-01-01T00:00:00"/>
    <d v="2025-01-04T00:00:00"/>
    <x v="2"/>
    <x v="0"/>
    <x v="0"/>
    <x v="0"/>
    <x v="7"/>
    <x v="2"/>
    <x v="0"/>
    <x v="2"/>
  </r>
  <r>
    <s v="TX500019"/>
    <x v="6"/>
    <x v="8"/>
    <x v="18"/>
    <n v="408.8"/>
    <d v="2025-01-01T00:00:00"/>
    <d v="2025-01-04T00:00:00"/>
    <x v="2"/>
    <x v="2"/>
    <x v="3"/>
    <x v="0"/>
    <x v="7"/>
    <x v="2"/>
    <x v="0"/>
    <x v="2"/>
  </r>
  <r>
    <s v="TX500020"/>
    <x v="9"/>
    <x v="0"/>
    <x v="19"/>
    <n v="25.2"/>
    <d v="2025-01-01T00:00:00"/>
    <d v="2025-01-02T00:00:00"/>
    <x v="2"/>
    <x v="1"/>
    <x v="2"/>
    <x v="0"/>
    <x v="8"/>
    <x v="3"/>
    <x v="0"/>
    <x v="2"/>
  </r>
  <r>
    <s v="TX500021"/>
    <x v="9"/>
    <x v="9"/>
    <x v="20"/>
    <n v="219"/>
    <d v="2025-01-01T00:00:00"/>
    <d v="2025-01-04T00:00:00"/>
    <x v="2"/>
    <x v="2"/>
    <x v="0"/>
    <x v="0"/>
    <x v="8"/>
    <x v="2"/>
    <x v="0"/>
    <x v="2"/>
  </r>
  <r>
    <s v="TX500022"/>
    <x v="8"/>
    <x v="4"/>
    <x v="21"/>
    <n v="560.40000000000009"/>
    <d v="2025-01-01T00:00:00"/>
    <d v="2025-01-02T00:00:00"/>
    <x v="2"/>
    <x v="1"/>
    <x v="1"/>
    <x v="0"/>
    <x v="8"/>
    <x v="3"/>
    <x v="0"/>
    <x v="2"/>
  </r>
  <r>
    <s v="TX500023"/>
    <x v="3"/>
    <x v="10"/>
    <x v="22"/>
    <n v="1518.1000000000001"/>
    <d v="2025-01-01T00:00:00"/>
    <d v="2025-01-02T00:00:00"/>
    <x v="1"/>
    <x v="0"/>
    <x v="2"/>
    <x v="0"/>
    <x v="8"/>
    <x v="3"/>
    <x v="0"/>
    <x v="1"/>
  </r>
  <r>
    <s v="TX500024"/>
    <x v="11"/>
    <x v="8"/>
    <x v="23"/>
    <n v="211.2"/>
    <d v="2025-01-01T00:00:00"/>
    <d v="2025-01-02T00:00:00"/>
    <x v="2"/>
    <x v="3"/>
    <x v="0"/>
    <x v="0"/>
    <x v="8"/>
    <x v="3"/>
    <x v="0"/>
    <x v="2"/>
  </r>
  <r>
    <s v="TX500025"/>
    <x v="12"/>
    <x v="8"/>
    <x v="24"/>
    <n v="710.4"/>
    <d v="2025-01-01T00:00:00"/>
    <d v="2025-01-02T00:00:00"/>
    <x v="2"/>
    <x v="4"/>
    <x v="0"/>
    <x v="0"/>
    <x v="8"/>
    <x v="3"/>
    <x v="0"/>
    <x v="2"/>
  </r>
  <r>
    <s v="TX500026"/>
    <x v="0"/>
    <x v="7"/>
    <x v="25"/>
    <n v="175"/>
    <d v="2025-01-01T00:00:00"/>
    <d v="2025-01-02T00:00:00"/>
    <x v="2"/>
    <x v="2"/>
    <x v="0"/>
    <x v="0"/>
    <x v="9"/>
    <x v="3"/>
    <x v="0"/>
    <x v="2"/>
  </r>
  <r>
    <s v="TX500027"/>
    <x v="1"/>
    <x v="11"/>
    <x v="26"/>
    <n v="348.3"/>
    <d v="2025-01-01T00:00:00"/>
    <d v="2025-01-04T00:00:00"/>
    <x v="1"/>
    <x v="1"/>
    <x v="0"/>
    <x v="0"/>
    <x v="10"/>
    <x v="2"/>
    <x v="0"/>
    <x v="1"/>
  </r>
  <r>
    <s v="TX500028"/>
    <x v="13"/>
    <x v="12"/>
    <x v="27"/>
    <n v="228.8"/>
    <d v="2025-01-01T00:00:00"/>
    <d v="2025-01-03T00:00:00"/>
    <x v="0"/>
    <x v="1"/>
    <x v="2"/>
    <x v="0"/>
    <x v="11"/>
    <x v="1"/>
    <x v="0"/>
    <x v="0"/>
  </r>
  <r>
    <s v="TX500029"/>
    <x v="6"/>
    <x v="9"/>
    <x v="28"/>
    <n v="254.5"/>
    <d v="2025-01-01T00:00:00"/>
    <d v="2025-01-07T00:00:00"/>
    <x v="0"/>
    <x v="1"/>
    <x v="2"/>
    <x v="0"/>
    <x v="12"/>
    <x v="4"/>
    <x v="0"/>
    <x v="0"/>
  </r>
  <r>
    <s v="TX500030"/>
    <x v="14"/>
    <x v="3"/>
    <x v="29"/>
    <n v="287"/>
    <d v="2025-01-01T00:00:00"/>
    <d v="2025-01-05T00:00:00"/>
    <x v="2"/>
    <x v="1"/>
    <x v="0"/>
    <x v="0"/>
    <x v="13"/>
    <x v="5"/>
    <x v="0"/>
    <x v="2"/>
  </r>
  <r>
    <s v="TX500031"/>
    <x v="8"/>
    <x v="3"/>
    <x v="30"/>
    <n v="133.70000000000002"/>
    <d v="2025-01-01T00:00:00"/>
    <d v="2025-01-05T00:00:00"/>
    <x v="1"/>
    <x v="0"/>
    <x v="2"/>
    <x v="0"/>
    <x v="14"/>
    <x v="5"/>
    <x v="0"/>
    <x v="1"/>
  </r>
  <r>
    <s v="TX500032"/>
    <x v="2"/>
    <x v="9"/>
    <x v="31"/>
    <n v="830.5"/>
    <d v="2025-01-01T00:00:00"/>
    <d v="2025-01-04T00:00:00"/>
    <x v="1"/>
    <x v="0"/>
    <x v="0"/>
    <x v="0"/>
    <x v="15"/>
    <x v="2"/>
    <x v="0"/>
    <x v="1"/>
  </r>
  <r>
    <s v="TX500033"/>
    <x v="4"/>
    <x v="2"/>
    <x v="32"/>
    <n v="89.699999999999989"/>
    <d v="2025-01-01T00:00:00"/>
    <d v="2025-01-02T00:00:00"/>
    <x v="1"/>
    <x v="3"/>
    <x v="0"/>
    <x v="0"/>
    <x v="3"/>
    <x v="3"/>
    <x v="0"/>
    <x v="1"/>
  </r>
  <r>
    <s v="TX500034"/>
    <x v="10"/>
    <x v="13"/>
    <x v="33"/>
    <n v="130.19999999999999"/>
    <d v="2025-01-01T00:00:00"/>
    <d v="2025-01-03T00:00:00"/>
    <x v="3"/>
    <x v="2"/>
    <x v="2"/>
    <x v="0"/>
    <x v="3"/>
    <x v="1"/>
    <x v="0"/>
    <x v="3"/>
  </r>
  <r>
    <s v="TX500035"/>
    <x v="11"/>
    <x v="1"/>
    <x v="34"/>
    <n v="64"/>
    <d v="2025-01-01T00:00:00"/>
    <d v="2025-01-04T00:00:00"/>
    <x v="1"/>
    <x v="0"/>
    <x v="2"/>
    <x v="0"/>
    <x v="3"/>
    <x v="2"/>
    <x v="0"/>
    <x v="1"/>
  </r>
  <r>
    <s v="TX500036"/>
    <x v="8"/>
    <x v="1"/>
    <x v="35"/>
    <n v="31.6"/>
    <d v="2025-01-01T00:00:00"/>
    <d v="2025-01-02T00:00:00"/>
    <x v="1"/>
    <x v="4"/>
    <x v="2"/>
    <x v="0"/>
    <x v="3"/>
    <x v="3"/>
    <x v="0"/>
    <x v="1"/>
  </r>
  <r>
    <s v="TX500037"/>
    <x v="2"/>
    <x v="14"/>
    <x v="36"/>
    <n v="3452.7"/>
    <d v="2025-01-01T00:00:00"/>
    <d v="2025-01-05T00:00:00"/>
    <x v="1"/>
    <x v="3"/>
    <x v="1"/>
    <x v="0"/>
    <x v="3"/>
    <x v="5"/>
    <x v="0"/>
    <x v="1"/>
  </r>
  <r>
    <s v="TX500038"/>
    <x v="7"/>
    <x v="15"/>
    <x v="37"/>
    <n v="507"/>
    <d v="2025-01-01T00:00:00"/>
    <d v="2025-01-07T00:00:00"/>
    <x v="1"/>
    <x v="0"/>
    <x v="2"/>
    <x v="0"/>
    <x v="3"/>
    <x v="4"/>
    <x v="0"/>
    <x v="1"/>
  </r>
  <r>
    <s v="TX500039"/>
    <x v="10"/>
    <x v="0"/>
    <x v="38"/>
    <n v="26.5"/>
    <d v="2025-01-02T00:00:00"/>
    <d v="2025-01-03T00:00:00"/>
    <x v="1"/>
    <x v="2"/>
    <x v="0"/>
    <x v="0"/>
    <x v="3"/>
    <x v="3"/>
    <x v="0"/>
    <x v="1"/>
  </r>
  <r>
    <s v="TX500040"/>
    <x v="5"/>
    <x v="0"/>
    <x v="39"/>
    <n v="43.1"/>
    <d v="2025-01-02T00:00:00"/>
    <d v="2025-01-03T00:00:00"/>
    <x v="2"/>
    <x v="2"/>
    <x v="1"/>
    <x v="0"/>
    <x v="3"/>
    <x v="3"/>
    <x v="0"/>
    <x v="2"/>
  </r>
  <r>
    <s v="TX500041"/>
    <x v="1"/>
    <x v="2"/>
    <x v="40"/>
    <n v="417"/>
    <d v="2025-01-02T00:00:00"/>
    <d v="2025-01-03T00:00:00"/>
    <x v="2"/>
    <x v="4"/>
    <x v="2"/>
    <x v="0"/>
    <x v="3"/>
    <x v="3"/>
    <x v="0"/>
    <x v="2"/>
  </r>
  <r>
    <s v="TX500042"/>
    <x v="12"/>
    <x v="0"/>
    <x v="41"/>
    <n v="80.7"/>
    <d v="2025-01-02T00:00:00"/>
    <d v="2025-01-03T00:00:00"/>
    <x v="1"/>
    <x v="0"/>
    <x v="2"/>
    <x v="0"/>
    <x v="16"/>
    <x v="3"/>
    <x v="0"/>
    <x v="1"/>
  </r>
  <r>
    <s v="TX500043"/>
    <x v="4"/>
    <x v="1"/>
    <x v="42"/>
    <n v="109"/>
    <d v="2025-01-02T00:00:00"/>
    <d v="2025-01-04T00:00:00"/>
    <x v="1"/>
    <x v="1"/>
    <x v="1"/>
    <x v="0"/>
    <x v="6"/>
    <x v="1"/>
    <x v="0"/>
    <x v="1"/>
  </r>
  <r>
    <s v="TX500044"/>
    <x v="6"/>
    <x v="2"/>
    <x v="43"/>
    <n v="205.79999999999998"/>
    <d v="2025-01-02T00:00:00"/>
    <d v="2025-01-02T00:00:00"/>
    <x v="2"/>
    <x v="0"/>
    <x v="1"/>
    <x v="0"/>
    <x v="8"/>
    <x v="7"/>
    <x v="0"/>
    <x v="2"/>
  </r>
  <r>
    <s v="TX500045"/>
    <x v="2"/>
    <x v="12"/>
    <x v="44"/>
    <n v="543.6"/>
    <d v="2025-01-02T00:00:00"/>
    <d v="2025-01-03T00:00:00"/>
    <x v="2"/>
    <x v="2"/>
    <x v="2"/>
    <x v="0"/>
    <x v="8"/>
    <x v="3"/>
    <x v="0"/>
    <x v="2"/>
  </r>
  <r>
    <s v="TX500046"/>
    <x v="2"/>
    <x v="12"/>
    <x v="45"/>
    <n v="283.60000000000002"/>
    <d v="2025-01-02T00:00:00"/>
    <d v="2025-01-03T00:00:00"/>
    <x v="2"/>
    <x v="0"/>
    <x v="0"/>
    <x v="0"/>
    <x v="17"/>
    <x v="3"/>
    <x v="0"/>
    <x v="2"/>
  </r>
  <r>
    <s v="TX500047"/>
    <x v="1"/>
    <x v="9"/>
    <x v="46"/>
    <n v="318.5"/>
    <d v="2025-01-02T00:00:00"/>
    <d v="2025-01-03T00:00:00"/>
    <x v="1"/>
    <x v="1"/>
    <x v="1"/>
    <x v="0"/>
    <x v="9"/>
    <x v="3"/>
    <x v="0"/>
    <x v="1"/>
  </r>
  <r>
    <s v="TX500048"/>
    <x v="13"/>
    <x v="0"/>
    <x v="47"/>
    <n v="29.7"/>
    <d v="2025-01-02T00:00:00"/>
    <d v="2025-01-04T00:00:00"/>
    <x v="2"/>
    <x v="1"/>
    <x v="0"/>
    <x v="0"/>
    <x v="11"/>
    <x v="1"/>
    <x v="0"/>
    <x v="2"/>
  </r>
  <r>
    <s v="TX500049"/>
    <x v="4"/>
    <x v="2"/>
    <x v="48"/>
    <n v="80.400000000000006"/>
    <d v="2025-01-02T00:00:00"/>
    <d v="2025-01-11T00:00:00"/>
    <x v="2"/>
    <x v="1"/>
    <x v="2"/>
    <x v="0"/>
    <x v="11"/>
    <x v="8"/>
    <x v="0"/>
    <x v="2"/>
  </r>
  <r>
    <s v="TX500050"/>
    <x v="14"/>
    <x v="0"/>
    <x v="49"/>
    <n v="27"/>
    <d v="2025-01-02T00:00:00"/>
    <d v="2025-01-04T00:00:00"/>
    <x v="2"/>
    <x v="0"/>
    <x v="0"/>
    <x v="0"/>
    <x v="18"/>
    <x v="1"/>
    <x v="0"/>
    <x v="2"/>
  </r>
  <r>
    <s v="TX500051"/>
    <x v="8"/>
    <x v="0"/>
    <x v="50"/>
    <n v="41.4"/>
    <d v="2025-01-02T00:00:00"/>
    <d v="2025-01-03T00:00:00"/>
    <x v="1"/>
    <x v="1"/>
    <x v="2"/>
    <x v="0"/>
    <x v="19"/>
    <x v="3"/>
    <x v="0"/>
    <x v="1"/>
  </r>
  <r>
    <s v="TX500052"/>
    <x v="8"/>
    <x v="1"/>
    <x v="51"/>
    <n v="48.6"/>
    <d v="2025-01-02T00:00:00"/>
    <d v="2025-01-05T00:00:00"/>
    <x v="2"/>
    <x v="1"/>
    <x v="0"/>
    <x v="0"/>
    <x v="19"/>
    <x v="2"/>
    <x v="0"/>
    <x v="2"/>
  </r>
  <r>
    <s v="TX500053"/>
    <x v="8"/>
    <x v="2"/>
    <x v="52"/>
    <n v="125.10000000000001"/>
    <d v="2025-01-02T00:00:00"/>
    <d v="2025-01-04T00:00:00"/>
    <x v="1"/>
    <x v="0"/>
    <x v="2"/>
    <x v="0"/>
    <x v="20"/>
    <x v="1"/>
    <x v="0"/>
    <x v="1"/>
  </r>
  <r>
    <s v="TX500054"/>
    <x v="0"/>
    <x v="1"/>
    <x v="53"/>
    <n v="36"/>
    <d v="2025-01-02T00:00:00"/>
    <d v="2025-01-03T00:00:00"/>
    <x v="2"/>
    <x v="0"/>
    <x v="2"/>
    <x v="0"/>
    <x v="21"/>
    <x v="3"/>
    <x v="0"/>
    <x v="2"/>
  </r>
  <r>
    <s v="TX500055"/>
    <x v="7"/>
    <x v="2"/>
    <x v="54"/>
    <n v="273.89999999999998"/>
    <d v="2025-01-02T00:00:00"/>
    <d v="2025-01-05T00:00:00"/>
    <x v="1"/>
    <x v="2"/>
    <x v="2"/>
    <x v="0"/>
    <x v="3"/>
    <x v="2"/>
    <x v="0"/>
    <x v="1"/>
  </r>
  <r>
    <s v="TX500056"/>
    <x v="8"/>
    <x v="8"/>
    <x v="55"/>
    <n v="154.4"/>
    <d v="2025-01-02T00:00:00"/>
    <d v="2025-01-03T00:00:00"/>
    <x v="1"/>
    <x v="0"/>
    <x v="0"/>
    <x v="0"/>
    <x v="3"/>
    <x v="3"/>
    <x v="0"/>
    <x v="1"/>
  </r>
  <r>
    <s v="TX500057"/>
    <x v="12"/>
    <x v="15"/>
    <x v="56"/>
    <n v="821.6"/>
    <d v="2025-01-02T00:00:00"/>
    <d v="2025-01-03T00:00:00"/>
    <x v="2"/>
    <x v="0"/>
    <x v="0"/>
    <x v="0"/>
    <x v="3"/>
    <x v="3"/>
    <x v="0"/>
    <x v="2"/>
  </r>
  <r>
    <s v="TX500058"/>
    <x v="10"/>
    <x v="11"/>
    <x v="57"/>
    <n v="299.7"/>
    <d v="2025-01-03T00:00:00"/>
    <d v="2025-01-11T00:00:00"/>
    <x v="2"/>
    <x v="0"/>
    <x v="2"/>
    <x v="0"/>
    <x v="3"/>
    <x v="9"/>
    <x v="0"/>
    <x v="2"/>
  </r>
  <r>
    <s v="TX500059"/>
    <x v="7"/>
    <x v="1"/>
    <x v="58"/>
    <n v="128.4"/>
    <d v="2025-01-03T00:00:00"/>
    <d v="2025-01-04T00:00:00"/>
    <x v="1"/>
    <x v="0"/>
    <x v="2"/>
    <x v="0"/>
    <x v="3"/>
    <x v="3"/>
    <x v="0"/>
    <x v="1"/>
  </r>
  <r>
    <s v="TX500060"/>
    <x v="9"/>
    <x v="2"/>
    <x v="59"/>
    <n v="69.300000000000011"/>
    <d v="2025-01-03T00:00:00"/>
    <d v="2025-01-06T00:00:00"/>
    <x v="2"/>
    <x v="1"/>
    <x v="2"/>
    <x v="0"/>
    <x v="3"/>
    <x v="2"/>
    <x v="0"/>
    <x v="2"/>
  </r>
  <r>
    <s v="TX500061"/>
    <x v="15"/>
    <x v="1"/>
    <x v="60"/>
    <n v="142.19999999999999"/>
    <d v="2025-01-03T00:00:00"/>
    <d v="2025-01-05T00:00:00"/>
    <x v="2"/>
    <x v="3"/>
    <x v="1"/>
    <x v="0"/>
    <x v="3"/>
    <x v="1"/>
    <x v="0"/>
    <x v="2"/>
  </r>
  <r>
    <s v="TX500062"/>
    <x v="0"/>
    <x v="1"/>
    <x v="61"/>
    <n v="23"/>
    <d v="2025-01-03T00:00:00"/>
    <d v="2025-01-04T00:00:00"/>
    <x v="2"/>
    <x v="0"/>
    <x v="0"/>
    <x v="0"/>
    <x v="3"/>
    <x v="3"/>
    <x v="0"/>
    <x v="2"/>
  </r>
  <r>
    <s v="TX500063"/>
    <x v="15"/>
    <x v="10"/>
    <x v="62"/>
    <n v="1314.8"/>
    <d v="2025-01-03T00:00:00"/>
    <d v="2025-01-08T00:00:00"/>
    <x v="2"/>
    <x v="0"/>
    <x v="0"/>
    <x v="0"/>
    <x v="3"/>
    <x v="0"/>
    <x v="0"/>
    <x v="2"/>
  </r>
  <r>
    <s v="TX500064"/>
    <x v="0"/>
    <x v="0"/>
    <x v="48"/>
    <n v="26.8"/>
    <d v="2025-01-03T00:00:00"/>
    <d v="2025-01-04T00:00:00"/>
    <x v="1"/>
    <x v="2"/>
    <x v="4"/>
    <x v="0"/>
    <x v="3"/>
    <x v="3"/>
    <x v="0"/>
    <x v="1"/>
  </r>
  <r>
    <s v="TX500065"/>
    <x v="16"/>
    <x v="2"/>
    <x v="63"/>
    <n v="93.6"/>
    <d v="2025-01-03T00:00:00"/>
    <d v="2025-01-06T00:00:00"/>
    <x v="2"/>
    <x v="0"/>
    <x v="0"/>
    <x v="0"/>
    <x v="3"/>
    <x v="2"/>
    <x v="0"/>
    <x v="2"/>
  </r>
  <r>
    <s v="TX500066"/>
    <x v="12"/>
    <x v="1"/>
    <x v="64"/>
    <n v="226.4"/>
    <d v="2025-01-03T00:00:00"/>
    <d v="2025-01-04T00:00:00"/>
    <x v="2"/>
    <x v="4"/>
    <x v="0"/>
    <x v="0"/>
    <x v="3"/>
    <x v="3"/>
    <x v="0"/>
    <x v="2"/>
  </r>
  <r>
    <s v="TX500067"/>
    <x v="10"/>
    <x v="8"/>
    <x v="65"/>
    <n v="168"/>
    <d v="2025-01-03T00:00:00"/>
    <d v="2025-01-04T00:00:00"/>
    <x v="1"/>
    <x v="0"/>
    <x v="0"/>
    <x v="0"/>
    <x v="6"/>
    <x v="3"/>
    <x v="0"/>
    <x v="1"/>
  </r>
  <r>
    <s v="TX500068"/>
    <x v="1"/>
    <x v="1"/>
    <x v="66"/>
    <n v="178.2"/>
    <d v="2025-01-03T00:00:00"/>
    <d v="2025-01-04T00:00:00"/>
    <x v="2"/>
    <x v="2"/>
    <x v="2"/>
    <x v="0"/>
    <x v="6"/>
    <x v="3"/>
    <x v="0"/>
    <x v="2"/>
  </r>
  <r>
    <s v="TX500069"/>
    <x v="1"/>
    <x v="0"/>
    <x v="67"/>
    <n v="97.7"/>
    <d v="2025-01-03T00:00:00"/>
    <d v="2025-01-05T00:00:00"/>
    <x v="2"/>
    <x v="0"/>
    <x v="1"/>
    <x v="0"/>
    <x v="6"/>
    <x v="1"/>
    <x v="0"/>
    <x v="2"/>
  </r>
  <r>
    <s v="TX500070"/>
    <x v="15"/>
    <x v="12"/>
    <x v="67"/>
    <n v="390.8"/>
    <d v="2025-01-03T00:00:00"/>
    <d v="2025-01-05T00:00:00"/>
    <x v="1"/>
    <x v="3"/>
    <x v="0"/>
    <x v="0"/>
    <x v="6"/>
    <x v="1"/>
    <x v="0"/>
    <x v="1"/>
  </r>
  <r>
    <s v="TX500071"/>
    <x v="17"/>
    <x v="2"/>
    <x v="68"/>
    <n v="142.19999999999999"/>
    <d v="2025-01-03T00:00:00"/>
    <d v="2025-01-06T00:00:00"/>
    <x v="1"/>
    <x v="3"/>
    <x v="2"/>
    <x v="0"/>
    <x v="8"/>
    <x v="2"/>
    <x v="0"/>
    <x v="1"/>
  </r>
  <r>
    <s v="TX500072"/>
    <x v="7"/>
    <x v="0"/>
    <x v="69"/>
    <n v="89.6"/>
    <d v="2025-01-03T00:00:00"/>
    <d v="2025-01-06T00:00:00"/>
    <x v="2"/>
    <x v="0"/>
    <x v="2"/>
    <x v="0"/>
    <x v="8"/>
    <x v="2"/>
    <x v="0"/>
    <x v="2"/>
  </r>
  <r>
    <s v="TX500073"/>
    <x v="10"/>
    <x v="16"/>
    <x v="70"/>
    <n v="511.2"/>
    <d v="2025-01-03T00:00:00"/>
    <d v="2025-01-06T00:00:00"/>
    <x v="2"/>
    <x v="3"/>
    <x v="2"/>
    <x v="0"/>
    <x v="17"/>
    <x v="2"/>
    <x v="0"/>
    <x v="2"/>
  </r>
  <r>
    <s v="TX500074"/>
    <x v="0"/>
    <x v="1"/>
    <x v="71"/>
    <n v="35.799999999999997"/>
    <d v="2025-01-03T00:00:00"/>
    <d v="2025-01-04T00:00:00"/>
    <x v="2"/>
    <x v="0"/>
    <x v="2"/>
    <x v="0"/>
    <x v="9"/>
    <x v="3"/>
    <x v="0"/>
    <x v="2"/>
  </r>
  <r>
    <s v="TX500075"/>
    <x v="9"/>
    <x v="1"/>
    <x v="72"/>
    <n v="96.8"/>
    <d v="2025-01-03T00:00:00"/>
    <d v="2025-01-06T00:00:00"/>
    <x v="1"/>
    <x v="1"/>
    <x v="0"/>
    <x v="0"/>
    <x v="9"/>
    <x v="2"/>
    <x v="0"/>
    <x v="1"/>
  </r>
  <r>
    <s v="TX500076"/>
    <x v="12"/>
    <x v="12"/>
    <x v="73"/>
    <n v="177.6"/>
    <d v="2025-01-03T00:00:00"/>
    <d v="2025-01-04T00:00:00"/>
    <x v="3"/>
    <x v="1"/>
    <x v="1"/>
    <x v="0"/>
    <x v="11"/>
    <x v="3"/>
    <x v="0"/>
    <x v="3"/>
  </r>
  <r>
    <s v="TX500077"/>
    <x v="2"/>
    <x v="8"/>
    <x v="74"/>
    <n v="829.6"/>
    <d v="2025-01-03T00:00:00"/>
    <d v="2025-01-04T00:00:00"/>
    <x v="2"/>
    <x v="0"/>
    <x v="1"/>
    <x v="0"/>
    <x v="19"/>
    <x v="3"/>
    <x v="0"/>
    <x v="2"/>
  </r>
  <r>
    <s v="TX500078"/>
    <x v="5"/>
    <x v="12"/>
    <x v="75"/>
    <n v="234.4"/>
    <d v="2025-01-03T00:00:00"/>
    <d v="2025-01-05T00:00:00"/>
    <x v="1"/>
    <x v="3"/>
    <x v="0"/>
    <x v="0"/>
    <x v="19"/>
    <x v="1"/>
    <x v="0"/>
    <x v="1"/>
  </r>
  <r>
    <s v="TX500079"/>
    <x v="9"/>
    <x v="12"/>
    <x v="76"/>
    <n v="219.2"/>
    <d v="2025-01-03T00:00:00"/>
    <d v="2025-01-07T00:00:00"/>
    <x v="2"/>
    <x v="2"/>
    <x v="1"/>
    <x v="0"/>
    <x v="13"/>
    <x v="5"/>
    <x v="0"/>
    <x v="2"/>
  </r>
  <r>
    <s v="TX500080"/>
    <x v="12"/>
    <x v="2"/>
    <x v="77"/>
    <n v="236.39999999999998"/>
    <d v="2025-01-03T00:00:00"/>
    <d v="2025-01-09T00:00:00"/>
    <x v="2"/>
    <x v="4"/>
    <x v="1"/>
    <x v="0"/>
    <x v="21"/>
    <x v="4"/>
    <x v="0"/>
    <x v="2"/>
  </r>
  <r>
    <s v="TX500081"/>
    <x v="18"/>
    <x v="9"/>
    <x v="78"/>
    <n v="184"/>
    <d v="2025-01-03T00:00:00"/>
    <d v="2025-01-06T00:00:00"/>
    <x v="1"/>
    <x v="4"/>
    <x v="1"/>
    <x v="0"/>
    <x v="22"/>
    <x v="2"/>
    <x v="0"/>
    <x v="1"/>
  </r>
  <r>
    <s v="TX500082"/>
    <x v="6"/>
    <x v="13"/>
    <x v="79"/>
    <n v="303.60000000000002"/>
    <d v="2025-01-03T00:00:00"/>
    <d v="2025-01-05T00:00:00"/>
    <x v="2"/>
    <x v="3"/>
    <x v="0"/>
    <x v="0"/>
    <x v="3"/>
    <x v="1"/>
    <x v="0"/>
    <x v="2"/>
  </r>
  <r>
    <s v="TX500083"/>
    <x v="15"/>
    <x v="2"/>
    <x v="78"/>
    <n v="110.39999999999999"/>
    <d v="2025-01-03T00:00:00"/>
    <d v="2025-01-03T00:00:00"/>
    <x v="1"/>
    <x v="2"/>
    <x v="1"/>
    <x v="0"/>
    <x v="3"/>
    <x v="7"/>
    <x v="0"/>
    <x v="1"/>
  </r>
  <r>
    <s v="TX500084"/>
    <x v="8"/>
    <x v="11"/>
    <x v="80"/>
    <n v="376.2"/>
    <d v="2025-01-04T00:00:00"/>
    <d v="2025-01-10T00:00:00"/>
    <x v="2"/>
    <x v="3"/>
    <x v="0"/>
    <x v="0"/>
    <x v="3"/>
    <x v="4"/>
    <x v="0"/>
    <x v="2"/>
  </r>
  <r>
    <s v="TX500085"/>
    <x v="18"/>
    <x v="0"/>
    <x v="81"/>
    <n v="77.3"/>
    <d v="2025-01-04T00:00:00"/>
    <d v="2025-01-05T00:00:00"/>
    <x v="1"/>
    <x v="4"/>
    <x v="4"/>
    <x v="0"/>
    <x v="3"/>
    <x v="3"/>
    <x v="0"/>
    <x v="1"/>
  </r>
  <r>
    <s v="TX500086"/>
    <x v="8"/>
    <x v="12"/>
    <x v="82"/>
    <n v="79.2"/>
    <d v="2025-01-04T00:00:00"/>
    <d v="2025-01-10T00:00:00"/>
    <x v="1"/>
    <x v="1"/>
    <x v="2"/>
    <x v="0"/>
    <x v="3"/>
    <x v="4"/>
    <x v="0"/>
    <x v="1"/>
  </r>
  <r>
    <s v="TX500087"/>
    <x v="13"/>
    <x v="12"/>
    <x v="83"/>
    <n v="62"/>
    <d v="2025-01-04T00:00:00"/>
    <d v="2025-01-05T00:00:00"/>
    <x v="2"/>
    <x v="1"/>
    <x v="2"/>
    <x v="0"/>
    <x v="3"/>
    <x v="3"/>
    <x v="0"/>
    <x v="2"/>
  </r>
  <r>
    <s v="TX500088"/>
    <x v="12"/>
    <x v="0"/>
    <x v="84"/>
    <n v="46.8"/>
    <d v="2025-01-04T00:00:00"/>
    <d v="2025-01-08T00:00:00"/>
    <x v="1"/>
    <x v="0"/>
    <x v="2"/>
    <x v="0"/>
    <x v="3"/>
    <x v="5"/>
    <x v="0"/>
    <x v="1"/>
  </r>
  <r>
    <s v="TX500089"/>
    <x v="9"/>
    <x v="11"/>
    <x v="85"/>
    <n v="257.40000000000003"/>
    <d v="2025-01-04T00:00:00"/>
    <d v="2025-01-08T00:00:00"/>
    <x v="1"/>
    <x v="0"/>
    <x v="2"/>
    <x v="0"/>
    <x v="3"/>
    <x v="5"/>
    <x v="0"/>
    <x v="1"/>
  </r>
  <r>
    <s v="TX500090"/>
    <x v="2"/>
    <x v="0"/>
    <x v="67"/>
    <n v="97.7"/>
    <d v="2025-01-04T00:00:00"/>
    <d v="2025-01-07T00:00:00"/>
    <x v="2"/>
    <x v="1"/>
    <x v="0"/>
    <x v="0"/>
    <x v="3"/>
    <x v="2"/>
    <x v="0"/>
    <x v="2"/>
  </r>
  <r>
    <s v="TX500091"/>
    <x v="9"/>
    <x v="9"/>
    <x v="86"/>
    <n v="273.5"/>
    <d v="2025-01-04T00:00:00"/>
    <d v="2025-01-07T00:00:00"/>
    <x v="0"/>
    <x v="0"/>
    <x v="2"/>
    <x v="0"/>
    <x v="23"/>
    <x v="2"/>
    <x v="0"/>
    <x v="0"/>
  </r>
  <r>
    <s v="TX500092"/>
    <x v="2"/>
    <x v="13"/>
    <x v="87"/>
    <n v="783"/>
    <d v="2025-01-04T00:00:00"/>
    <d v="2025-01-06T00:00:00"/>
    <x v="2"/>
    <x v="0"/>
    <x v="1"/>
    <x v="0"/>
    <x v="23"/>
    <x v="1"/>
    <x v="0"/>
    <x v="2"/>
  </r>
  <r>
    <s v="TX500093"/>
    <x v="11"/>
    <x v="1"/>
    <x v="88"/>
    <n v="100.8"/>
    <d v="2025-01-04T00:00:00"/>
    <d v="2025-01-06T00:00:00"/>
    <x v="1"/>
    <x v="2"/>
    <x v="2"/>
    <x v="0"/>
    <x v="6"/>
    <x v="1"/>
    <x v="0"/>
    <x v="1"/>
  </r>
  <r>
    <s v="TX500094"/>
    <x v="6"/>
    <x v="15"/>
    <x v="89"/>
    <n v="799.5"/>
    <d v="2025-01-04T00:00:00"/>
    <d v="2025-01-05T00:00:00"/>
    <x v="0"/>
    <x v="3"/>
    <x v="1"/>
    <x v="0"/>
    <x v="11"/>
    <x v="3"/>
    <x v="0"/>
    <x v="0"/>
  </r>
  <r>
    <s v="TX500095"/>
    <x v="9"/>
    <x v="12"/>
    <x v="90"/>
    <n v="120.4"/>
    <d v="2025-01-04T00:00:00"/>
    <d v="2025-01-05T00:00:00"/>
    <x v="2"/>
    <x v="0"/>
    <x v="2"/>
    <x v="0"/>
    <x v="21"/>
    <x v="3"/>
    <x v="0"/>
    <x v="2"/>
  </r>
  <r>
    <s v="TX500096"/>
    <x v="2"/>
    <x v="9"/>
    <x v="91"/>
    <n v="374"/>
    <d v="2025-01-04T00:00:00"/>
    <d v="2025-01-05T00:00:00"/>
    <x v="2"/>
    <x v="1"/>
    <x v="0"/>
    <x v="0"/>
    <x v="1"/>
    <x v="3"/>
    <x v="0"/>
    <x v="2"/>
  </r>
  <r>
    <s v="TX500097"/>
    <x v="16"/>
    <x v="2"/>
    <x v="92"/>
    <n v="194.70000000000002"/>
    <d v="2025-01-04T00:00:00"/>
    <d v="2025-01-11T00:00:00"/>
    <x v="1"/>
    <x v="0"/>
    <x v="0"/>
    <x v="0"/>
    <x v="2"/>
    <x v="6"/>
    <x v="0"/>
    <x v="1"/>
  </r>
  <r>
    <s v="TX500098"/>
    <x v="9"/>
    <x v="1"/>
    <x v="93"/>
    <n v="101"/>
    <d v="2025-01-04T00:00:00"/>
    <d v="2025-01-06T00:00:00"/>
    <x v="1"/>
    <x v="1"/>
    <x v="0"/>
    <x v="0"/>
    <x v="22"/>
    <x v="1"/>
    <x v="0"/>
    <x v="1"/>
  </r>
  <r>
    <s v="TX500099"/>
    <x v="11"/>
    <x v="3"/>
    <x v="94"/>
    <n v="441"/>
    <d v="2025-01-04T00:00:00"/>
    <d v="2025-01-07T00:00:00"/>
    <x v="1"/>
    <x v="3"/>
    <x v="2"/>
    <x v="0"/>
    <x v="3"/>
    <x v="2"/>
    <x v="0"/>
    <x v="1"/>
  </r>
  <r>
    <s v="TX500100"/>
    <x v="2"/>
    <x v="2"/>
    <x v="95"/>
    <n v="280.79999999999995"/>
    <d v="2025-01-04T00:00:00"/>
    <d v="2025-01-17T00:00:00"/>
    <x v="2"/>
    <x v="0"/>
    <x v="2"/>
    <x v="0"/>
    <x v="3"/>
    <x v="10"/>
    <x v="0"/>
    <x v="2"/>
  </r>
  <r>
    <s v="TX500101"/>
    <x v="5"/>
    <x v="17"/>
    <x v="50"/>
    <n v="1242"/>
    <d v="2025-01-04T00:00:00"/>
    <d v="2025-01-08T00:00:00"/>
    <x v="1"/>
    <x v="2"/>
    <x v="2"/>
    <x v="0"/>
    <x v="3"/>
    <x v="5"/>
    <x v="0"/>
    <x v="1"/>
  </r>
  <r>
    <s v="TX500102"/>
    <x v="2"/>
    <x v="1"/>
    <x v="96"/>
    <n v="320"/>
    <d v="2025-01-05T00:00:00"/>
    <d v="2025-01-06T00:00:00"/>
    <x v="1"/>
    <x v="2"/>
    <x v="2"/>
    <x v="0"/>
    <x v="5"/>
    <x v="3"/>
    <x v="1"/>
    <x v="1"/>
  </r>
  <r>
    <s v="TX500103"/>
    <x v="19"/>
    <x v="5"/>
    <x v="97"/>
    <n v="115.5"/>
    <d v="2025-01-05T00:00:00"/>
    <d v="2025-01-08T00:00:00"/>
    <x v="2"/>
    <x v="4"/>
    <x v="0"/>
    <x v="0"/>
    <x v="8"/>
    <x v="2"/>
    <x v="1"/>
    <x v="2"/>
  </r>
  <r>
    <s v="TX500104"/>
    <x v="10"/>
    <x v="1"/>
    <x v="98"/>
    <n v="106"/>
    <d v="2025-01-05T00:00:00"/>
    <d v="2025-01-05T00:00:00"/>
    <x v="1"/>
    <x v="2"/>
    <x v="4"/>
    <x v="0"/>
    <x v="17"/>
    <x v="7"/>
    <x v="1"/>
    <x v="1"/>
  </r>
  <r>
    <s v="TX500105"/>
    <x v="8"/>
    <x v="2"/>
    <x v="99"/>
    <n v="55.5"/>
    <d v="2025-01-05T00:00:00"/>
    <d v="2025-01-10T00:00:00"/>
    <x v="2"/>
    <x v="1"/>
    <x v="2"/>
    <x v="0"/>
    <x v="11"/>
    <x v="0"/>
    <x v="1"/>
    <x v="2"/>
  </r>
  <r>
    <s v="TX500106"/>
    <x v="16"/>
    <x v="2"/>
    <x v="100"/>
    <n v="253.5"/>
    <d v="2025-01-05T00:00:00"/>
    <d v="2025-01-07T00:00:00"/>
    <x v="2"/>
    <x v="4"/>
    <x v="1"/>
    <x v="0"/>
    <x v="13"/>
    <x v="1"/>
    <x v="1"/>
    <x v="2"/>
  </r>
  <r>
    <s v="TX500107"/>
    <x v="15"/>
    <x v="3"/>
    <x v="63"/>
    <n v="218.4"/>
    <d v="2025-01-05T00:00:00"/>
    <d v="2025-01-05T00:00:00"/>
    <x v="2"/>
    <x v="2"/>
    <x v="2"/>
    <x v="0"/>
    <x v="3"/>
    <x v="7"/>
    <x v="1"/>
    <x v="2"/>
  </r>
  <r>
    <s v="TX500108"/>
    <x v="8"/>
    <x v="16"/>
    <x v="101"/>
    <n v="586.80000000000007"/>
    <d v="2025-01-05T00:00:00"/>
    <d v="2025-01-06T00:00:00"/>
    <x v="1"/>
    <x v="1"/>
    <x v="1"/>
    <x v="0"/>
    <x v="3"/>
    <x v="3"/>
    <x v="1"/>
    <x v="1"/>
  </r>
  <r>
    <s v="TX500109"/>
    <x v="10"/>
    <x v="12"/>
    <x v="102"/>
    <n v="181.6"/>
    <d v="2025-01-05T00:00:00"/>
    <d v="2025-01-07T00:00:00"/>
    <x v="1"/>
    <x v="1"/>
    <x v="0"/>
    <x v="0"/>
    <x v="3"/>
    <x v="1"/>
    <x v="1"/>
    <x v="1"/>
  </r>
  <r>
    <s v="TX500110"/>
    <x v="2"/>
    <x v="4"/>
    <x v="103"/>
    <n v="1440"/>
    <d v="2025-01-05T00:00:00"/>
    <d v="2025-01-06T00:00:00"/>
    <x v="2"/>
    <x v="2"/>
    <x v="4"/>
    <x v="0"/>
    <x v="3"/>
    <x v="3"/>
    <x v="1"/>
    <x v="2"/>
  </r>
  <r>
    <s v="TX500111"/>
    <x v="0"/>
    <x v="12"/>
    <x v="104"/>
    <n v="75.599999999999994"/>
    <d v="2025-01-05T00:00:00"/>
    <d v="2025-01-07T00:00:00"/>
    <x v="1"/>
    <x v="0"/>
    <x v="2"/>
    <x v="0"/>
    <x v="3"/>
    <x v="1"/>
    <x v="1"/>
    <x v="1"/>
  </r>
  <r>
    <s v="TX500112"/>
    <x v="4"/>
    <x v="0"/>
    <x v="34"/>
    <n v="32"/>
    <d v="2025-01-05T00:00:00"/>
    <d v="2025-01-07T00:00:00"/>
    <x v="2"/>
    <x v="4"/>
    <x v="0"/>
    <x v="0"/>
    <x v="3"/>
    <x v="1"/>
    <x v="1"/>
    <x v="2"/>
  </r>
  <r>
    <s v="TX500113"/>
    <x v="7"/>
    <x v="1"/>
    <x v="105"/>
    <n v="74.599999999999994"/>
    <d v="2025-01-05T00:00:00"/>
    <d v="2025-01-06T00:00:00"/>
    <x v="1"/>
    <x v="2"/>
    <x v="0"/>
    <x v="0"/>
    <x v="3"/>
    <x v="3"/>
    <x v="1"/>
    <x v="1"/>
  </r>
  <r>
    <s v="TX500114"/>
    <x v="18"/>
    <x v="0"/>
    <x v="106"/>
    <n v="119.8"/>
    <d v="2025-01-05T00:00:00"/>
    <d v="2025-01-06T00:00:00"/>
    <x v="1"/>
    <x v="1"/>
    <x v="1"/>
    <x v="0"/>
    <x v="3"/>
    <x v="3"/>
    <x v="1"/>
    <x v="1"/>
  </r>
  <r>
    <s v="TX500115"/>
    <x v="10"/>
    <x v="1"/>
    <x v="23"/>
    <n v="52.8"/>
    <d v="2025-01-05T00:00:00"/>
    <d v="2025-01-08T00:00:00"/>
    <x v="1"/>
    <x v="2"/>
    <x v="0"/>
    <x v="0"/>
    <x v="3"/>
    <x v="2"/>
    <x v="1"/>
    <x v="1"/>
  </r>
  <r>
    <s v="TX500116"/>
    <x v="6"/>
    <x v="13"/>
    <x v="107"/>
    <n v="459"/>
    <d v="2025-01-05T00:00:00"/>
    <d v="2025-01-06T00:00:00"/>
    <x v="2"/>
    <x v="1"/>
    <x v="1"/>
    <x v="0"/>
    <x v="3"/>
    <x v="3"/>
    <x v="1"/>
    <x v="2"/>
  </r>
  <r>
    <s v="TX500117"/>
    <x v="4"/>
    <x v="7"/>
    <x v="108"/>
    <n v="457"/>
    <d v="2025-01-05T00:00:00"/>
    <d v="2025-01-06T00:00:00"/>
    <x v="2"/>
    <x v="2"/>
    <x v="0"/>
    <x v="0"/>
    <x v="24"/>
    <x v="3"/>
    <x v="1"/>
    <x v="2"/>
  </r>
  <r>
    <s v="TX500118"/>
    <x v="1"/>
    <x v="4"/>
    <x v="109"/>
    <n v="1111.1999999999998"/>
    <d v="2025-01-05T00:00:00"/>
    <d v="2025-01-07T00:00:00"/>
    <x v="2"/>
    <x v="2"/>
    <x v="0"/>
    <x v="0"/>
    <x v="25"/>
    <x v="1"/>
    <x v="1"/>
    <x v="2"/>
  </r>
  <r>
    <s v="TX500119"/>
    <x v="6"/>
    <x v="13"/>
    <x v="110"/>
    <n v="360.6"/>
    <d v="2025-01-05T00:00:00"/>
    <d v="2025-01-06T00:00:00"/>
    <x v="1"/>
    <x v="1"/>
    <x v="0"/>
    <x v="0"/>
    <x v="23"/>
    <x v="3"/>
    <x v="1"/>
    <x v="1"/>
  </r>
  <r>
    <s v="TX500120"/>
    <x v="1"/>
    <x v="2"/>
    <x v="111"/>
    <n v="219"/>
    <d v="2025-01-05T00:00:00"/>
    <d v="2025-01-06T00:00:00"/>
    <x v="2"/>
    <x v="3"/>
    <x v="1"/>
    <x v="0"/>
    <x v="6"/>
    <x v="3"/>
    <x v="1"/>
    <x v="2"/>
  </r>
  <r>
    <s v="TX500121"/>
    <x v="6"/>
    <x v="2"/>
    <x v="112"/>
    <n v="132.89999999999998"/>
    <d v="2025-01-05T00:00:00"/>
    <d v="2025-01-09T00:00:00"/>
    <x v="0"/>
    <x v="2"/>
    <x v="2"/>
    <x v="0"/>
    <x v="6"/>
    <x v="5"/>
    <x v="1"/>
    <x v="0"/>
  </r>
  <r>
    <s v="TX500122"/>
    <x v="6"/>
    <x v="2"/>
    <x v="113"/>
    <n v="189.89999999999998"/>
    <d v="2025-01-05T00:00:00"/>
    <d v="2025-01-06T00:00:00"/>
    <x v="1"/>
    <x v="2"/>
    <x v="0"/>
    <x v="0"/>
    <x v="6"/>
    <x v="3"/>
    <x v="1"/>
    <x v="1"/>
  </r>
  <r>
    <s v="TX500123"/>
    <x v="12"/>
    <x v="0"/>
    <x v="114"/>
    <n v="66.8"/>
    <d v="2025-01-05T00:00:00"/>
    <d v="2025-01-06T00:00:00"/>
    <x v="2"/>
    <x v="1"/>
    <x v="0"/>
    <x v="0"/>
    <x v="6"/>
    <x v="3"/>
    <x v="1"/>
    <x v="2"/>
  </r>
  <r>
    <s v="TX500124"/>
    <x v="2"/>
    <x v="1"/>
    <x v="115"/>
    <n v="119.4"/>
    <d v="2025-01-05T00:00:00"/>
    <d v="2025-01-06T00:00:00"/>
    <x v="2"/>
    <x v="0"/>
    <x v="0"/>
    <x v="0"/>
    <x v="7"/>
    <x v="3"/>
    <x v="1"/>
    <x v="2"/>
  </r>
  <r>
    <s v="TX500125"/>
    <x v="1"/>
    <x v="13"/>
    <x v="116"/>
    <n v="552"/>
    <d v="2025-01-05T00:00:00"/>
    <d v="2025-01-07T00:00:00"/>
    <x v="1"/>
    <x v="0"/>
    <x v="4"/>
    <x v="0"/>
    <x v="7"/>
    <x v="1"/>
    <x v="1"/>
    <x v="1"/>
  </r>
  <r>
    <s v="TX500126"/>
    <x v="7"/>
    <x v="1"/>
    <x v="117"/>
    <n v="175.2"/>
    <d v="2025-01-05T00:00:00"/>
    <d v="2025-01-07T00:00:00"/>
    <x v="1"/>
    <x v="1"/>
    <x v="1"/>
    <x v="0"/>
    <x v="8"/>
    <x v="1"/>
    <x v="1"/>
    <x v="1"/>
  </r>
  <r>
    <s v="TX500127"/>
    <x v="6"/>
    <x v="2"/>
    <x v="100"/>
    <n v="253.5"/>
    <d v="2025-01-05T00:00:00"/>
    <d v="2025-01-06T00:00:00"/>
    <x v="2"/>
    <x v="1"/>
    <x v="1"/>
    <x v="0"/>
    <x v="8"/>
    <x v="3"/>
    <x v="1"/>
    <x v="2"/>
  </r>
  <r>
    <s v="TX500128"/>
    <x v="1"/>
    <x v="1"/>
    <x v="118"/>
    <n v="232.6"/>
    <d v="2025-01-06T00:00:00"/>
    <d v="2025-01-08T00:00:00"/>
    <x v="1"/>
    <x v="2"/>
    <x v="2"/>
    <x v="0"/>
    <x v="8"/>
    <x v="1"/>
    <x v="1"/>
    <x v="1"/>
  </r>
  <r>
    <s v="TX500129"/>
    <x v="6"/>
    <x v="9"/>
    <x v="119"/>
    <n v="263.5"/>
    <d v="2025-01-06T00:00:00"/>
    <d v="2025-01-10T00:00:00"/>
    <x v="1"/>
    <x v="0"/>
    <x v="0"/>
    <x v="0"/>
    <x v="8"/>
    <x v="5"/>
    <x v="1"/>
    <x v="1"/>
  </r>
  <r>
    <s v="TX500130"/>
    <x v="16"/>
    <x v="2"/>
    <x v="120"/>
    <n v="102.60000000000001"/>
    <d v="2025-01-06T00:00:00"/>
    <d v="2025-01-07T00:00:00"/>
    <x v="1"/>
    <x v="0"/>
    <x v="2"/>
    <x v="0"/>
    <x v="26"/>
    <x v="3"/>
    <x v="1"/>
    <x v="1"/>
  </r>
  <r>
    <s v="TX500131"/>
    <x v="9"/>
    <x v="0"/>
    <x v="121"/>
    <n v="23.3"/>
    <d v="2025-01-06T00:00:00"/>
    <d v="2025-01-15T00:00:00"/>
    <x v="3"/>
    <x v="2"/>
    <x v="2"/>
    <x v="0"/>
    <x v="9"/>
    <x v="8"/>
    <x v="1"/>
    <x v="3"/>
  </r>
  <r>
    <s v="TX500132"/>
    <x v="0"/>
    <x v="18"/>
    <x v="122"/>
    <n v="673.4"/>
    <d v="2025-01-06T00:00:00"/>
    <d v="2025-01-09T00:00:00"/>
    <x v="2"/>
    <x v="4"/>
    <x v="1"/>
    <x v="0"/>
    <x v="9"/>
    <x v="2"/>
    <x v="1"/>
    <x v="2"/>
  </r>
  <r>
    <s v="TX500133"/>
    <x v="6"/>
    <x v="19"/>
    <x v="123"/>
    <n v="1592.1"/>
    <d v="2025-01-06T00:00:00"/>
    <d v="2025-01-07T00:00:00"/>
    <x v="1"/>
    <x v="1"/>
    <x v="2"/>
    <x v="0"/>
    <x v="9"/>
    <x v="3"/>
    <x v="1"/>
    <x v="1"/>
  </r>
  <r>
    <s v="TX500134"/>
    <x v="5"/>
    <x v="2"/>
    <x v="124"/>
    <n v="227.39999999999998"/>
    <d v="2025-01-06T00:00:00"/>
    <d v="2025-01-11T00:00:00"/>
    <x v="3"/>
    <x v="1"/>
    <x v="0"/>
    <x v="0"/>
    <x v="18"/>
    <x v="0"/>
    <x v="1"/>
    <x v="3"/>
  </r>
  <r>
    <s v="TX500135"/>
    <x v="1"/>
    <x v="11"/>
    <x v="125"/>
    <n v="404.09999999999997"/>
    <d v="2025-01-06T00:00:00"/>
    <d v="2025-01-09T00:00:00"/>
    <x v="2"/>
    <x v="2"/>
    <x v="2"/>
    <x v="0"/>
    <x v="2"/>
    <x v="2"/>
    <x v="1"/>
    <x v="2"/>
  </r>
  <r>
    <s v="TX500136"/>
    <x v="11"/>
    <x v="1"/>
    <x v="126"/>
    <n v="97.6"/>
    <d v="2025-01-06T00:00:00"/>
    <d v="2025-01-08T00:00:00"/>
    <x v="2"/>
    <x v="3"/>
    <x v="0"/>
    <x v="0"/>
    <x v="27"/>
    <x v="1"/>
    <x v="1"/>
    <x v="2"/>
  </r>
  <r>
    <s v="TX500137"/>
    <x v="15"/>
    <x v="0"/>
    <x v="127"/>
    <n v="20.3"/>
    <d v="2025-01-06T00:00:00"/>
    <d v="2025-01-07T00:00:00"/>
    <x v="2"/>
    <x v="0"/>
    <x v="2"/>
    <x v="0"/>
    <x v="22"/>
    <x v="3"/>
    <x v="1"/>
    <x v="2"/>
  </r>
  <r>
    <s v="TX500138"/>
    <x v="5"/>
    <x v="3"/>
    <x v="128"/>
    <n v="254.79999999999998"/>
    <d v="2025-01-06T00:00:00"/>
    <d v="2025-01-09T00:00:00"/>
    <x v="2"/>
    <x v="0"/>
    <x v="1"/>
    <x v="0"/>
    <x v="3"/>
    <x v="2"/>
    <x v="1"/>
    <x v="2"/>
  </r>
  <r>
    <s v="TX500139"/>
    <x v="0"/>
    <x v="0"/>
    <x v="129"/>
    <n v="19"/>
    <d v="2025-01-06T00:00:00"/>
    <d v="2025-01-11T00:00:00"/>
    <x v="2"/>
    <x v="1"/>
    <x v="2"/>
    <x v="0"/>
    <x v="3"/>
    <x v="0"/>
    <x v="1"/>
    <x v="2"/>
  </r>
  <r>
    <s v="TX500140"/>
    <x v="8"/>
    <x v="0"/>
    <x v="130"/>
    <n v="17.8"/>
    <d v="2025-01-06T00:00:00"/>
    <d v="2025-01-06T00:00:00"/>
    <x v="1"/>
    <x v="0"/>
    <x v="0"/>
    <x v="0"/>
    <x v="3"/>
    <x v="7"/>
    <x v="1"/>
    <x v="1"/>
  </r>
  <r>
    <s v="TX500141"/>
    <x v="2"/>
    <x v="13"/>
    <x v="131"/>
    <n v="837.59999999999991"/>
    <d v="2025-01-06T00:00:00"/>
    <d v="2025-01-09T00:00:00"/>
    <x v="1"/>
    <x v="0"/>
    <x v="0"/>
    <x v="0"/>
    <x v="3"/>
    <x v="2"/>
    <x v="1"/>
    <x v="1"/>
  </r>
  <r>
    <s v="TX500142"/>
    <x v="9"/>
    <x v="0"/>
    <x v="132"/>
    <n v="31.7"/>
    <d v="2025-01-06T00:00:00"/>
    <d v="2025-01-06T00:00:00"/>
    <x v="0"/>
    <x v="0"/>
    <x v="0"/>
    <x v="0"/>
    <x v="3"/>
    <x v="7"/>
    <x v="1"/>
    <x v="0"/>
  </r>
  <r>
    <s v="TX500143"/>
    <x v="8"/>
    <x v="8"/>
    <x v="133"/>
    <n v="210.4"/>
    <d v="2025-01-06T00:00:00"/>
    <d v="2025-01-09T00:00:00"/>
    <x v="2"/>
    <x v="4"/>
    <x v="4"/>
    <x v="0"/>
    <x v="3"/>
    <x v="2"/>
    <x v="1"/>
    <x v="2"/>
  </r>
  <r>
    <s v="TX500144"/>
    <x v="4"/>
    <x v="1"/>
    <x v="134"/>
    <n v="95.6"/>
    <d v="2025-01-06T00:00:00"/>
    <d v="2025-01-07T00:00:00"/>
    <x v="0"/>
    <x v="0"/>
    <x v="0"/>
    <x v="0"/>
    <x v="3"/>
    <x v="3"/>
    <x v="1"/>
    <x v="0"/>
  </r>
  <r>
    <s v="TX500145"/>
    <x v="9"/>
    <x v="2"/>
    <x v="135"/>
    <n v="208.20000000000002"/>
    <d v="2025-01-06T00:00:00"/>
    <d v="2025-01-10T00:00:00"/>
    <x v="2"/>
    <x v="0"/>
    <x v="0"/>
    <x v="0"/>
    <x v="3"/>
    <x v="5"/>
    <x v="1"/>
    <x v="2"/>
  </r>
  <r>
    <s v="TX500146"/>
    <x v="18"/>
    <x v="4"/>
    <x v="136"/>
    <n v="309.60000000000002"/>
    <d v="2025-01-06T00:00:00"/>
    <d v="2025-01-07T00:00:00"/>
    <x v="1"/>
    <x v="4"/>
    <x v="4"/>
    <x v="0"/>
    <x v="3"/>
    <x v="3"/>
    <x v="1"/>
    <x v="1"/>
  </r>
  <r>
    <s v="TX500147"/>
    <x v="0"/>
    <x v="12"/>
    <x v="23"/>
    <n v="105.6"/>
    <d v="2025-01-06T00:00:00"/>
    <d v="2025-01-07T00:00:00"/>
    <x v="1"/>
    <x v="1"/>
    <x v="2"/>
    <x v="0"/>
    <x v="3"/>
    <x v="3"/>
    <x v="1"/>
    <x v="1"/>
  </r>
  <r>
    <s v="TX500148"/>
    <x v="8"/>
    <x v="12"/>
    <x v="137"/>
    <n v="62.8"/>
    <d v="2025-01-06T00:00:00"/>
    <d v="2025-01-07T00:00:00"/>
    <x v="1"/>
    <x v="2"/>
    <x v="0"/>
    <x v="0"/>
    <x v="3"/>
    <x v="3"/>
    <x v="1"/>
    <x v="1"/>
  </r>
  <r>
    <s v="TX500149"/>
    <x v="8"/>
    <x v="0"/>
    <x v="138"/>
    <n v="39.700000000000003"/>
    <d v="2025-01-06T00:00:00"/>
    <d v="2025-01-10T00:00:00"/>
    <x v="1"/>
    <x v="0"/>
    <x v="0"/>
    <x v="0"/>
    <x v="3"/>
    <x v="5"/>
    <x v="1"/>
    <x v="1"/>
  </r>
  <r>
    <s v="TX500150"/>
    <x v="10"/>
    <x v="12"/>
    <x v="16"/>
    <n v="124.4"/>
    <d v="2025-01-06T00:00:00"/>
    <d v="2025-01-08T00:00:00"/>
    <x v="2"/>
    <x v="2"/>
    <x v="1"/>
    <x v="0"/>
    <x v="3"/>
    <x v="1"/>
    <x v="1"/>
    <x v="2"/>
  </r>
  <r>
    <s v="TX500151"/>
    <x v="13"/>
    <x v="20"/>
    <x v="139"/>
    <n v="351"/>
    <d v="2025-01-06T00:00:00"/>
    <d v="2025-01-15T00:00:00"/>
    <x v="1"/>
    <x v="0"/>
    <x v="0"/>
    <x v="0"/>
    <x v="3"/>
    <x v="8"/>
    <x v="1"/>
    <x v="1"/>
  </r>
  <r>
    <s v="TX500152"/>
    <x v="1"/>
    <x v="12"/>
    <x v="140"/>
    <n v="228.4"/>
    <d v="2025-01-07T00:00:00"/>
    <d v="2025-01-08T00:00:00"/>
    <x v="1"/>
    <x v="2"/>
    <x v="0"/>
    <x v="0"/>
    <x v="25"/>
    <x v="3"/>
    <x v="1"/>
    <x v="1"/>
  </r>
  <r>
    <s v="TX500153"/>
    <x v="2"/>
    <x v="9"/>
    <x v="141"/>
    <n v="449.5"/>
    <d v="2025-01-07T00:00:00"/>
    <d v="2025-01-07T00:00:00"/>
    <x v="2"/>
    <x v="0"/>
    <x v="3"/>
    <x v="0"/>
    <x v="23"/>
    <x v="7"/>
    <x v="1"/>
    <x v="2"/>
  </r>
  <r>
    <s v="TX500154"/>
    <x v="10"/>
    <x v="3"/>
    <x v="142"/>
    <n v="336.7"/>
    <d v="2025-01-07T00:00:00"/>
    <d v="2025-01-09T00:00:00"/>
    <x v="2"/>
    <x v="1"/>
    <x v="2"/>
    <x v="0"/>
    <x v="6"/>
    <x v="1"/>
    <x v="1"/>
    <x v="2"/>
  </r>
  <r>
    <s v="TX500155"/>
    <x v="8"/>
    <x v="1"/>
    <x v="143"/>
    <n v="58.6"/>
    <d v="2025-01-07T00:00:00"/>
    <d v="2025-01-07T00:00:00"/>
    <x v="2"/>
    <x v="1"/>
    <x v="1"/>
    <x v="0"/>
    <x v="6"/>
    <x v="7"/>
    <x v="1"/>
    <x v="2"/>
  </r>
  <r>
    <s v="TX500156"/>
    <x v="8"/>
    <x v="12"/>
    <x v="144"/>
    <n v="115.2"/>
    <d v="2025-01-07T00:00:00"/>
    <d v="2025-01-08T00:00:00"/>
    <x v="2"/>
    <x v="0"/>
    <x v="4"/>
    <x v="0"/>
    <x v="6"/>
    <x v="3"/>
    <x v="1"/>
    <x v="2"/>
  </r>
  <r>
    <s v="TX500157"/>
    <x v="10"/>
    <x v="9"/>
    <x v="145"/>
    <n v="202.5"/>
    <d v="2025-01-07T00:00:00"/>
    <d v="2025-01-11T00:00:00"/>
    <x v="2"/>
    <x v="3"/>
    <x v="0"/>
    <x v="0"/>
    <x v="6"/>
    <x v="5"/>
    <x v="1"/>
    <x v="2"/>
  </r>
  <r>
    <s v="TX500158"/>
    <x v="18"/>
    <x v="21"/>
    <x v="146"/>
    <n v="911.39999999999986"/>
    <d v="2025-01-07T00:00:00"/>
    <d v="2025-01-08T00:00:00"/>
    <x v="2"/>
    <x v="4"/>
    <x v="0"/>
    <x v="0"/>
    <x v="7"/>
    <x v="3"/>
    <x v="1"/>
    <x v="2"/>
  </r>
  <r>
    <s v="TX500159"/>
    <x v="8"/>
    <x v="12"/>
    <x v="7"/>
    <n v="161.19999999999999"/>
    <d v="2025-01-07T00:00:00"/>
    <d v="2025-01-12T00:00:00"/>
    <x v="2"/>
    <x v="2"/>
    <x v="0"/>
    <x v="0"/>
    <x v="7"/>
    <x v="0"/>
    <x v="1"/>
    <x v="2"/>
  </r>
  <r>
    <s v="TX500160"/>
    <x v="6"/>
    <x v="9"/>
    <x v="147"/>
    <n v="259"/>
    <d v="2025-01-07T00:00:00"/>
    <d v="2025-01-08T00:00:00"/>
    <x v="1"/>
    <x v="2"/>
    <x v="2"/>
    <x v="0"/>
    <x v="8"/>
    <x v="3"/>
    <x v="1"/>
    <x v="1"/>
  </r>
  <r>
    <s v="TX500161"/>
    <x v="6"/>
    <x v="2"/>
    <x v="148"/>
    <n v="183.89999999999998"/>
    <d v="2025-01-07T00:00:00"/>
    <d v="2025-01-08T00:00:00"/>
    <x v="2"/>
    <x v="3"/>
    <x v="0"/>
    <x v="0"/>
    <x v="8"/>
    <x v="3"/>
    <x v="1"/>
    <x v="2"/>
  </r>
  <r>
    <s v="TX500162"/>
    <x v="2"/>
    <x v="12"/>
    <x v="149"/>
    <n v="490"/>
    <d v="2025-01-07T00:00:00"/>
    <d v="2025-01-08T00:00:00"/>
    <x v="1"/>
    <x v="0"/>
    <x v="0"/>
    <x v="0"/>
    <x v="8"/>
    <x v="3"/>
    <x v="1"/>
    <x v="1"/>
  </r>
  <r>
    <s v="TX500163"/>
    <x v="0"/>
    <x v="11"/>
    <x v="150"/>
    <n v="112.5"/>
    <d v="2025-01-07T00:00:00"/>
    <d v="2025-01-08T00:00:00"/>
    <x v="0"/>
    <x v="1"/>
    <x v="2"/>
    <x v="0"/>
    <x v="8"/>
    <x v="3"/>
    <x v="1"/>
    <x v="0"/>
  </r>
  <r>
    <s v="TX500164"/>
    <x v="15"/>
    <x v="8"/>
    <x v="151"/>
    <n v="300"/>
    <d v="2025-01-07T00:00:00"/>
    <d v="2025-01-08T00:00:00"/>
    <x v="2"/>
    <x v="0"/>
    <x v="0"/>
    <x v="0"/>
    <x v="9"/>
    <x v="3"/>
    <x v="1"/>
    <x v="2"/>
  </r>
  <r>
    <s v="TX500165"/>
    <x v="6"/>
    <x v="2"/>
    <x v="152"/>
    <n v="120"/>
    <d v="2025-01-07T00:00:00"/>
    <d v="2025-01-10T00:00:00"/>
    <x v="1"/>
    <x v="0"/>
    <x v="4"/>
    <x v="0"/>
    <x v="11"/>
    <x v="2"/>
    <x v="1"/>
    <x v="1"/>
  </r>
  <r>
    <s v="TX500166"/>
    <x v="17"/>
    <x v="8"/>
    <x v="153"/>
    <n v="308"/>
    <d v="2025-01-07T00:00:00"/>
    <d v="2025-01-12T00:00:00"/>
    <x v="2"/>
    <x v="2"/>
    <x v="1"/>
    <x v="0"/>
    <x v="11"/>
    <x v="0"/>
    <x v="1"/>
    <x v="2"/>
  </r>
  <r>
    <s v="TX500167"/>
    <x v="2"/>
    <x v="1"/>
    <x v="154"/>
    <n v="172.8"/>
    <d v="2025-01-07T00:00:00"/>
    <d v="2025-01-09T00:00:00"/>
    <x v="2"/>
    <x v="0"/>
    <x v="0"/>
    <x v="0"/>
    <x v="18"/>
    <x v="1"/>
    <x v="1"/>
    <x v="2"/>
  </r>
  <r>
    <s v="TX500168"/>
    <x v="10"/>
    <x v="0"/>
    <x v="155"/>
    <n v="50.7"/>
    <d v="2025-01-07T00:00:00"/>
    <d v="2025-01-11T00:00:00"/>
    <x v="2"/>
    <x v="1"/>
    <x v="0"/>
    <x v="0"/>
    <x v="18"/>
    <x v="5"/>
    <x v="1"/>
    <x v="2"/>
  </r>
  <r>
    <s v="TX500169"/>
    <x v="10"/>
    <x v="1"/>
    <x v="156"/>
    <n v="122"/>
    <d v="2025-01-07T00:00:00"/>
    <d v="2025-01-18T00:00:00"/>
    <x v="2"/>
    <x v="4"/>
    <x v="1"/>
    <x v="0"/>
    <x v="18"/>
    <x v="11"/>
    <x v="1"/>
    <x v="2"/>
  </r>
  <r>
    <s v="TX500170"/>
    <x v="4"/>
    <x v="1"/>
    <x v="157"/>
    <n v="39.799999999999997"/>
    <d v="2025-01-07T00:00:00"/>
    <d v="2025-01-10T00:00:00"/>
    <x v="2"/>
    <x v="1"/>
    <x v="0"/>
    <x v="0"/>
    <x v="28"/>
    <x v="2"/>
    <x v="1"/>
    <x v="2"/>
  </r>
  <r>
    <s v="TX500171"/>
    <x v="5"/>
    <x v="0"/>
    <x v="158"/>
    <n v="78.3"/>
    <d v="2025-01-07T00:00:00"/>
    <d v="2025-01-07T00:00:00"/>
    <x v="2"/>
    <x v="0"/>
    <x v="2"/>
    <x v="0"/>
    <x v="1"/>
    <x v="7"/>
    <x v="1"/>
    <x v="2"/>
  </r>
  <r>
    <s v="TX500172"/>
    <x v="0"/>
    <x v="10"/>
    <x v="159"/>
    <n v="197.6"/>
    <d v="2025-01-07T00:00:00"/>
    <d v="2025-01-09T00:00:00"/>
    <x v="1"/>
    <x v="0"/>
    <x v="2"/>
    <x v="0"/>
    <x v="2"/>
    <x v="1"/>
    <x v="1"/>
    <x v="1"/>
  </r>
  <r>
    <s v="TX500173"/>
    <x v="10"/>
    <x v="0"/>
    <x v="160"/>
    <n v="36.1"/>
    <d v="2025-01-07T00:00:00"/>
    <d v="2025-01-10T00:00:00"/>
    <x v="1"/>
    <x v="3"/>
    <x v="2"/>
    <x v="0"/>
    <x v="3"/>
    <x v="2"/>
    <x v="1"/>
    <x v="1"/>
  </r>
  <r>
    <s v="TX500174"/>
    <x v="14"/>
    <x v="1"/>
    <x v="161"/>
    <n v="34.6"/>
    <d v="2025-01-07T00:00:00"/>
    <d v="2025-01-09T00:00:00"/>
    <x v="2"/>
    <x v="1"/>
    <x v="2"/>
    <x v="0"/>
    <x v="3"/>
    <x v="1"/>
    <x v="1"/>
    <x v="2"/>
  </r>
  <r>
    <s v="TX500175"/>
    <x v="10"/>
    <x v="1"/>
    <x v="162"/>
    <n v="61"/>
    <d v="2025-01-07T00:00:00"/>
    <d v="2025-01-08T00:00:00"/>
    <x v="2"/>
    <x v="1"/>
    <x v="2"/>
    <x v="0"/>
    <x v="3"/>
    <x v="3"/>
    <x v="1"/>
    <x v="2"/>
  </r>
  <r>
    <s v="TX500176"/>
    <x v="18"/>
    <x v="22"/>
    <x v="163"/>
    <n v="4346.2"/>
    <d v="2025-01-07T00:00:00"/>
    <d v="2025-01-07T00:00:00"/>
    <x v="2"/>
    <x v="2"/>
    <x v="0"/>
    <x v="0"/>
    <x v="3"/>
    <x v="7"/>
    <x v="1"/>
    <x v="2"/>
  </r>
  <r>
    <s v="TX500177"/>
    <x v="3"/>
    <x v="0"/>
    <x v="164"/>
    <n v="76.099999999999994"/>
    <d v="2025-01-07T00:00:00"/>
    <d v="2025-01-07T00:00:00"/>
    <x v="2"/>
    <x v="2"/>
    <x v="1"/>
    <x v="0"/>
    <x v="3"/>
    <x v="7"/>
    <x v="1"/>
    <x v="2"/>
  </r>
  <r>
    <s v="TX500178"/>
    <x v="15"/>
    <x v="15"/>
    <x v="120"/>
    <n v="444.6"/>
    <d v="2025-01-07T00:00:00"/>
    <d v="2025-01-08T00:00:00"/>
    <x v="1"/>
    <x v="0"/>
    <x v="0"/>
    <x v="0"/>
    <x v="3"/>
    <x v="3"/>
    <x v="1"/>
    <x v="1"/>
  </r>
  <r>
    <s v="TX500179"/>
    <x v="8"/>
    <x v="9"/>
    <x v="165"/>
    <n v="151.5"/>
    <d v="2025-01-07T00:00:00"/>
    <d v="2025-01-12T00:00:00"/>
    <x v="2"/>
    <x v="4"/>
    <x v="0"/>
    <x v="0"/>
    <x v="3"/>
    <x v="0"/>
    <x v="1"/>
    <x v="2"/>
  </r>
  <r>
    <s v="TX500180"/>
    <x v="6"/>
    <x v="9"/>
    <x v="166"/>
    <n v="262.5"/>
    <d v="2025-01-07T00:00:00"/>
    <d v="2025-01-11T00:00:00"/>
    <x v="0"/>
    <x v="3"/>
    <x v="0"/>
    <x v="0"/>
    <x v="3"/>
    <x v="5"/>
    <x v="1"/>
    <x v="0"/>
  </r>
  <r>
    <s v="TX500181"/>
    <x v="9"/>
    <x v="5"/>
    <x v="167"/>
    <n v="315.7"/>
    <d v="2025-01-07T00:00:00"/>
    <d v="2025-01-08T00:00:00"/>
    <x v="2"/>
    <x v="2"/>
    <x v="0"/>
    <x v="0"/>
    <x v="3"/>
    <x v="3"/>
    <x v="1"/>
    <x v="2"/>
  </r>
  <r>
    <s v="TX500182"/>
    <x v="7"/>
    <x v="3"/>
    <x v="168"/>
    <n v="364"/>
    <d v="2025-01-07T00:00:00"/>
    <d v="2025-01-08T00:00:00"/>
    <x v="1"/>
    <x v="1"/>
    <x v="4"/>
    <x v="0"/>
    <x v="3"/>
    <x v="3"/>
    <x v="1"/>
    <x v="1"/>
  </r>
  <r>
    <s v="TX500183"/>
    <x v="0"/>
    <x v="0"/>
    <x v="169"/>
    <n v="13.3"/>
    <d v="2025-01-08T00:00:00"/>
    <d v="2025-01-12T00:00:00"/>
    <x v="2"/>
    <x v="2"/>
    <x v="1"/>
    <x v="0"/>
    <x v="3"/>
    <x v="5"/>
    <x v="1"/>
    <x v="2"/>
  </r>
  <r>
    <s v="TX500184"/>
    <x v="0"/>
    <x v="2"/>
    <x v="137"/>
    <n v="47.099999999999994"/>
    <d v="2025-01-08T00:00:00"/>
    <d v="2025-01-09T00:00:00"/>
    <x v="2"/>
    <x v="1"/>
    <x v="0"/>
    <x v="0"/>
    <x v="29"/>
    <x v="3"/>
    <x v="1"/>
    <x v="2"/>
  </r>
  <r>
    <s v="TX500185"/>
    <x v="8"/>
    <x v="1"/>
    <x v="170"/>
    <n v="51.2"/>
    <d v="2025-01-08T00:00:00"/>
    <d v="2025-01-09T00:00:00"/>
    <x v="1"/>
    <x v="0"/>
    <x v="2"/>
    <x v="0"/>
    <x v="23"/>
    <x v="3"/>
    <x v="1"/>
    <x v="1"/>
  </r>
  <r>
    <s v="TX500186"/>
    <x v="8"/>
    <x v="0"/>
    <x v="171"/>
    <n v="43.4"/>
    <d v="2025-01-08T00:00:00"/>
    <d v="2025-01-13T00:00:00"/>
    <x v="1"/>
    <x v="0"/>
    <x v="0"/>
    <x v="0"/>
    <x v="6"/>
    <x v="0"/>
    <x v="1"/>
    <x v="1"/>
  </r>
  <r>
    <s v="TX500187"/>
    <x v="11"/>
    <x v="11"/>
    <x v="172"/>
    <n v="300.59999999999997"/>
    <d v="2025-01-08T00:00:00"/>
    <d v="2025-01-08T00:00:00"/>
    <x v="2"/>
    <x v="0"/>
    <x v="0"/>
    <x v="0"/>
    <x v="8"/>
    <x v="7"/>
    <x v="1"/>
    <x v="2"/>
  </r>
  <r>
    <s v="TX500188"/>
    <x v="8"/>
    <x v="10"/>
    <x v="173"/>
    <n v="1045"/>
    <d v="2025-01-08T00:00:00"/>
    <d v="2025-01-09T00:00:00"/>
    <x v="2"/>
    <x v="1"/>
    <x v="2"/>
    <x v="0"/>
    <x v="8"/>
    <x v="3"/>
    <x v="1"/>
    <x v="2"/>
  </r>
  <r>
    <s v="TX500189"/>
    <x v="8"/>
    <x v="2"/>
    <x v="174"/>
    <n v="70.800000000000011"/>
    <d v="2025-01-08T00:00:00"/>
    <d v="2025-01-09T00:00:00"/>
    <x v="1"/>
    <x v="0"/>
    <x v="2"/>
    <x v="0"/>
    <x v="8"/>
    <x v="3"/>
    <x v="1"/>
    <x v="1"/>
  </r>
  <r>
    <s v="TX500190"/>
    <x v="12"/>
    <x v="11"/>
    <x v="175"/>
    <n v="936"/>
    <d v="2025-01-08T00:00:00"/>
    <d v="2025-01-10T00:00:00"/>
    <x v="2"/>
    <x v="2"/>
    <x v="2"/>
    <x v="0"/>
    <x v="17"/>
    <x v="1"/>
    <x v="1"/>
    <x v="2"/>
  </r>
  <r>
    <s v="TX500191"/>
    <x v="6"/>
    <x v="1"/>
    <x v="147"/>
    <n v="103.6"/>
    <d v="2025-01-08T00:00:00"/>
    <d v="2025-01-12T00:00:00"/>
    <x v="0"/>
    <x v="0"/>
    <x v="2"/>
    <x v="0"/>
    <x v="10"/>
    <x v="5"/>
    <x v="1"/>
    <x v="0"/>
  </r>
  <r>
    <s v="TX500192"/>
    <x v="10"/>
    <x v="9"/>
    <x v="176"/>
    <n v="172.5"/>
    <d v="2025-01-08T00:00:00"/>
    <d v="2025-01-10T00:00:00"/>
    <x v="0"/>
    <x v="2"/>
    <x v="2"/>
    <x v="0"/>
    <x v="11"/>
    <x v="1"/>
    <x v="1"/>
    <x v="0"/>
  </r>
  <r>
    <s v="TX500193"/>
    <x v="6"/>
    <x v="1"/>
    <x v="147"/>
    <n v="103.6"/>
    <d v="2025-01-08T00:00:00"/>
    <d v="2025-01-10T00:00:00"/>
    <x v="1"/>
    <x v="1"/>
    <x v="2"/>
    <x v="0"/>
    <x v="30"/>
    <x v="1"/>
    <x v="1"/>
    <x v="1"/>
  </r>
  <r>
    <s v="TX500194"/>
    <x v="18"/>
    <x v="23"/>
    <x v="177"/>
    <n v="5654.5"/>
    <d v="2025-01-08T00:00:00"/>
    <d v="2025-01-09T00:00:00"/>
    <x v="2"/>
    <x v="0"/>
    <x v="2"/>
    <x v="0"/>
    <x v="18"/>
    <x v="3"/>
    <x v="1"/>
    <x v="2"/>
  </r>
  <r>
    <s v="TX500195"/>
    <x v="8"/>
    <x v="3"/>
    <x v="134"/>
    <n v="334.59999999999997"/>
    <d v="2025-01-08T00:00:00"/>
    <d v="2025-01-08T00:00:00"/>
    <x v="2"/>
    <x v="0"/>
    <x v="0"/>
    <x v="0"/>
    <x v="19"/>
    <x v="7"/>
    <x v="1"/>
    <x v="2"/>
  </r>
  <r>
    <s v="TX500196"/>
    <x v="0"/>
    <x v="1"/>
    <x v="178"/>
    <n v="20.399999999999999"/>
    <d v="2025-01-08T00:00:00"/>
    <d v="2025-01-10T00:00:00"/>
    <x v="2"/>
    <x v="0"/>
    <x v="0"/>
    <x v="0"/>
    <x v="19"/>
    <x v="1"/>
    <x v="1"/>
    <x v="2"/>
  </r>
  <r>
    <s v="TX500197"/>
    <x v="8"/>
    <x v="8"/>
    <x v="29"/>
    <n v="328"/>
    <d v="2025-01-08T00:00:00"/>
    <d v="2025-01-08T00:00:00"/>
    <x v="2"/>
    <x v="1"/>
    <x v="2"/>
    <x v="0"/>
    <x v="19"/>
    <x v="7"/>
    <x v="1"/>
    <x v="2"/>
  </r>
  <r>
    <s v="TX500198"/>
    <x v="10"/>
    <x v="3"/>
    <x v="179"/>
    <n v="355.59999999999997"/>
    <d v="2025-01-08T00:00:00"/>
    <d v="2025-01-11T00:00:00"/>
    <x v="2"/>
    <x v="1"/>
    <x v="0"/>
    <x v="0"/>
    <x v="21"/>
    <x v="2"/>
    <x v="1"/>
    <x v="2"/>
  </r>
  <r>
    <s v="TX500199"/>
    <x v="18"/>
    <x v="2"/>
    <x v="180"/>
    <n v="118.80000000000001"/>
    <d v="2025-01-08T00:00:00"/>
    <d v="2025-01-09T00:00:00"/>
    <x v="1"/>
    <x v="2"/>
    <x v="2"/>
    <x v="0"/>
    <x v="1"/>
    <x v="3"/>
    <x v="1"/>
    <x v="1"/>
  </r>
  <r>
    <s v="TX500200"/>
    <x v="5"/>
    <x v="1"/>
    <x v="181"/>
    <n v="139"/>
    <d v="2025-01-08T00:00:00"/>
    <d v="2025-01-10T00:00:00"/>
    <x v="1"/>
    <x v="0"/>
    <x v="2"/>
    <x v="0"/>
    <x v="2"/>
    <x v="1"/>
    <x v="1"/>
    <x v="1"/>
  </r>
  <r>
    <s v="TX500201"/>
    <x v="8"/>
    <x v="8"/>
    <x v="101"/>
    <n v="260.8"/>
    <d v="2025-01-08T00:00:00"/>
    <d v="2025-01-11T00:00:00"/>
    <x v="1"/>
    <x v="1"/>
    <x v="0"/>
    <x v="0"/>
    <x v="3"/>
    <x v="2"/>
    <x v="1"/>
    <x v="1"/>
  </r>
  <r>
    <s v="TX500202"/>
    <x v="7"/>
    <x v="1"/>
    <x v="182"/>
    <n v="98.2"/>
    <d v="2025-01-08T00:00:00"/>
    <d v="2025-01-16T00:00:00"/>
    <x v="1"/>
    <x v="3"/>
    <x v="2"/>
    <x v="0"/>
    <x v="3"/>
    <x v="9"/>
    <x v="1"/>
    <x v="1"/>
  </r>
  <r>
    <s v="TX500203"/>
    <x v="6"/>
    <x v="1"/>
    <x v="183"/>
    <n v="98.8"/>
    <d v="2025-01-09T00:00:00"/>
    <d v="2025-01-10T00:00:00"/>
    <x v="2"/>
    <x v="2"/>
    <x v="0"/>
    <x v="0"/>
    <x v="3"/>
    <x v="3"/>
    <x v="1"/>
    <x v="2"/>
  </r>
  <r>
    <s v="TX500204"/>
    <x v="7"/>
    <x v="3"/>
    <x v="146"/>
    <n v="455.69999999999993"/>
    <d v="2025-01-09T00:00:00"/>
    <d v="2025-01-12T00:00:00"/>
    <x v="2"/>
    <x v="2"/>
    <x v="2"/>
    <x v="0"/>
    <x v="3"/>
    <x v="2"/>
    <x v="1"/>
    <x v="2"/>
  </r>
  <r>
    <s v="TX500205"/>
    <x v="3"/>
    <x v="1"/>
    <x v="184"/>
    <n v="104.2"/>
    <d v="2025-01-09T00:00:00"/>
    <d v="2025-01-13T00:00:00"/>
    <x v="2"/>
    <x v="2"/>
    <x v="0"/>
    <x v="0"/>
    <x v="3"/>
    <x v="5"/>
    <x v="1"/>
    <x v="2"/>
  </r>
  <r>
    <s v="TX500206"/>
    <x v="2"/>
    <x v="12"/>
    <x v="185"/>
    <n v="516.79999999999995"/>
    <d v="2025-01-09T00:00:00"/>
    <d v="2025-01-10T00:00:00"/>
    <x v="2"/>
    <x v="1"/>
    <x v="0"/>
    <x v="0"/>
    <x v="3"/>
    <x v="3"/>
    <x v="1"/>
    <x v="2"/>
  </r>
  <r>
    <s v="TX500207"/>
    <x v="1"/>
    <x v="10"/>
    <x v="186"/>
    <n v="1554.2"/>
    <d v="2025-01-09T00:00:00"/>
    <d v="2025-01-09T00:00:00"/>
    <x v="2"/>
    <x v="1"/>
    <x v="1"/>
    <x v="0"/>
    <x v="3"/>
    <x v="7"/>
    <x v="1"/>
    <x v="2"/>
  </r>
  <r>
    <s v="TX500208"/>
    <x v="17"/>
    <x v="0"/>
    <x v="187"/>
    <n v="24.9"/>
    <d v="2025-01-09T00:00:00"/>
    <d v="2025-01-13T00:00:00"/>
    <x v="2"/>
    <x v="1"/>
    <x v="0"/>
    <x v="0"/>
    <x v="3"/>
    <x v="5"/>
    <x v="1"/>
    <x v="2"/>
  </r>
  <r>
    <s v="TX500209"/>
    <x v="0"/>
    <x v="2"/>
    <x v="183"/>
    <n v="148.19999999999999"/>
    <d v="2025-01-09T00:00:00"/>
    <d v="2025-01-12T00:00:00"/>
    <x v="2"/>
    <x v="4"/>
    <x v="4"/>
    <x v="0"/>
    <x v="3"/>
    <x v="2"/>
    <x v="1"/>
    <x v="2"/>
  </r>
  <r>
    <s v="TX500210"/>
    <x v="8"/>
    <x v="1"/>
    <x v="188"/>
    <n v="45.4"/>
    <d v="2025-01-09T00:00:00"/>
    <d v="2025-01-10T00:00:00"/>
    <x v="1"/>
    <x v="3"/>
    <x v="2"/>
    <x v="0"/>
    <x v="3"/>
    <x v="3"/>
    <x v="1"/>
    <x v="1"/>
  </r>
  <r>
    <s v="TX500211"/>
    <x v="1"/>
    <x v="0"/>
    <x v="81"/>
    <n v="77.3"/>
    <d v="2025-01-09T00:00:00"/>
    <d v="2025-01-09T00:00:00"/>
    <x v="2"/>
    <x v="0"/>
    <x v="2"/>
    <x v="0"/>
    <x v="6"/>
    <x v="7"/>
    <x v="1"/>
    <x v="2"/>
  </r>
  <r>
    <s v="TX500212"/>
    <x v="1"/>
    <x v="9"/>
    <x v="189"/>
    <n v="545.5"/>
    <d v="2025-01-09T00:00:00"/>
    <d v="2025-01-12T00:00:00"/>
    <x v="2"/>
    <x v="0"/>
    <x v="0"/>
    <x v="0"/>
    <x v="6"/>
    <x v="2"/>
    <x v="1"/>
    <x v="2"/>
  </r>
  <r>
    <s v="TX500213"/>
    <x v="2"/>
    <x v="12"/>
    <x v="190"/>
    <n v="215.6"/>
    <d v="2025-01-09T00:00:00"/>
    <d v="2025-01-10T00:00:00"/>
    <x v="1"/>
    <x v="0"/>
    <x v="1"/>
    <x v="0"/>
    <x v="8"/>
    <x v="3"/>
    <x v="1"/>
    <x v="1"/>
  </r>
  <r>
    <s v="TX500214"/>
    <x v="9"/>
    <x v="18"/>
    <x v="191"/>
    <n v="551.19999999999993"/>
    <d v="2025-01-09T00:00:00"/>
    <d v="2025-01-09T00:00:00"/>
    <x v="2"/>
    <x v="0"/>
    <x v="0"/>
    <x v="0"/>
    <x v="9"/>
    <x v="7"/>
    <x v="1"/>
    <x v="2"/>
  </r>
  <r>
    <s v="TX500215"/>
    <x v="16"/>
    <x v="12"/>
    <x v="192"/>
    <n v="276"/>
    <d v="2025-01-09T00:00:00"/>
    <d v="2025-01-11T00:00:00"/>
    <x v="2"/>
    <x v="1"/>
    <x v="1"/>
    <x v="0"/>
    <x v="18"/>
    <x v="1"/>
    <x v="1"/>
    <x v="2"/>
  </r>
  <r>
    <s v="TX500216"/>
    <x v="6"/>
    <x v="2"/>
    <x v="193"/>
    <n v="138.60000000000002"/>
    <d v="2025-01-09T00:00:00"/>
    <d v="2025-01-11T00:00:00"/>
    <x v="2"/>
    <x v="0"/>
    <x v="2"/>
    <x v="0"/>
    <x v="31"/>
    <x v="1"/>
    <x v="1"/>
    <x v="2"/>
  </r>
  <r>
    <s v="TX500217"/>
    <x v="1"/>
    <x v="9"/>
    <x v="194"/>
    <n v="487"/>
    <d v="2025-01-09T00:00:00"/>
    <d v="2025-01-13T00:00:00"/>
    <x v="2"/>
    <x v="4"/>
    <x v="2"/>
    <x v="0"/>
    <x v="21"/>
    <x v="5"/>
    <x v="1"/>
    <x v="2"/>
  </r>
  <r>
    <s v="TX500218"/>
    <x v="8"/>
    <x v="9"/>
    <x v="65"/>
    <n v="105"/>
    <d v="2025-01-09T00:00:00"/>
    <d v="2025-01-10T00:00:00"/>
    <x v="1"/>
    <x v="0"/>
    <x v="1"/>
    <x v="0"/>
    <x v="21"/>
    <x v="3"/>
    <x v="1"/>
    <x v="1"/>
  </r>
  <r>
    <s v="TX500219"/>
    <x v="5"/>
    <x v="1"/>
    <x v="195"/>
    <n v="65.400000000000006"/>
    <d v="2025-01-10T00:00:00"/>
    <d v="2025-01-13T00:00:00"/>
    <x v="2"/>
    <x v="1"/>
    <x v="0"/>
    <x v="0"/>
    <x v="2"/>
    <x v="2"/>
    <x v="1"/>
    <x v="2"/>
  </r>
  <r>
    <s v="TX500220"/>
    <x v="6"/>
    <x v="12"/>
    <x v="196"/>
    <n v="192"/>
    <d v="2025-01-10T00:00:00"/>
    <d v="2025-01-11T00:00:00"/>
    <x v="1"/>
    <x v="3"/>
    <x v="0"/>
    <x v="0"/>
    <x v="3"/>
    <x v="3"/>
    <x v="1"/>
    <x v="1"/>
  </r>
  <r>
    <s v="TX500221"/>
    <x v="6"/>
    <x v="2"/>
    <x v="197"/>
    <n v="204.60000000000002"/>
    <d v="2025-01-10T00:00:00"/>
    <d v="2025-01-14T00:00:00"/>
    <x v="0"/>
    <x v="0"/>
    <x v="2"/>
    <x v="0"/>
    <x v="3"/>
    <x v="5"/>
    <x v="1"/>
    <x v="0"/>
  </r>
  <r>
    <s v="TX500222"/>
    <x v="5"/>
    <x v="0"/>
    <x v="102"/>
    <n v="45.4"/>
    <d v="2025-01-10T00:00:00"/>
    <d v="2025-01-12T00:00:00"/>
    <x v="1"/>
    <x v="1"/>
    <x v="0"/>
    <x v="0"/>
    <x v="3"/>
    <x v="1"/>
    <x v="1"/>
    <x v="1"/>
  </r>
  <r>
    <s v="TX500223"/>
    <x v="12"/>
    <x v="1"/>
    <x v="190"/>
    <n v="107.8"/>
    <d v="2025-01-10T00:00:00"/>
    <d v="2025-01-11T00:00:00"/>
    <x v="2"/>
    <x v="2"/>
    <x v="0"/>
    <x v="0"/>
    <x v="3"/>
    <x v="3"/>
    <x v="1"/>
    <x v="2"/>
  </r>
  <r>
    <s v="TX500224"/>
    <x v="2"/>
    <x v="12"/>
    <x v="198"/>
    <n v="248.4"/>
    <d v="2025-01-10T00:00:00"/>
    <d v="2025-01-14T00:00:00"/>
    <x v="2"/>
    <x v="0"/>
    <x v="0"/>
    <x v="0"/>
    <x v="4"/>
    <x v="5"/>
    <x v="1"/>
    <x v="2"/>
  </r>
  <r>
    <s v="TX500225"/>
    <x v="13"/>
    <x v="3"/>
    <x v="199"/>
    <n v="231.70000000000002"/>
    <d v="2025-01-10T00:00:00"/>
    <d v="2025-01-15T00:00:00"/>
    <x v="1"/>
    <x v="1"/>
    <x v="0"/>
    <x v="0"/>
    <x v="6"/>
    <x v="0"/>
    <x v="1"/>
    <x v="1"/>
  </r>
  <r>
    <s v="TX500226"/>
    <x v="18"/>
    <x v="9"/>
    <x v="200"/>
    <n v="176"/>
    <d v="2025-01-10T00:00:00"/>
    <d v="2025-01-10T00:00:00"/>
    <x v="2"/>
    <x v="1"/>
    <x v="0"/>
    <x v="0"/>
    <x v="6"/>
    <x v="7"/>
    <x v="1"/>
    <x v="2"/>
  </r>
  <r>
    <s v="TX500227"/>
    <x v="9"/>
    <x v="2"/>
    <x v="201"/>
    <n v="96.300000000000011"/>
    <d v="2025-01-10T00:00:00"/>
    <d v="2025-01-15T00:00:00"/>
    <x v="1"/>
    <x v="3"/>
    <x v="0"/>
    <x v="0"/>
    <x v="8"/>
    <x v="0"/>
    <x v="1"/>
    <x v="1"/>
  </r>
  <r>
    <s v="TX500228"/>
    <x v="11"/>
    <x v="0"/>
    <x v="202"/>
    <n v="38.1"/>
    <d v="2025-01-10T00:00:00"/>
    <d v="2025-01-15T00:00:00"/>
    <x v="2"/>
    <x v="0"/>
    <x v="2"/>
    <x v="0"/>
    <x v="8"/>
    <x v="0"/>
    <x v="1"/>
    <x v="2"/>
  </r>
  <r>
    <s v="TX500229"/>
    <x v="8"/>
    <x v="0"/>
    <x v="203"/>
    <n v="65.2"/>
    <d v="2025-01-10T00:00:00"/>
    <d v="2025-01-15T00:00:00"/>
    <x v="2"/>
    <x v="3"/>
    <x v="1"/>
    <x v="0"/>
    <x v="8"/>
    <x v="0"/>
    <x v="1"/>
    <x v="2"/>
  </r>
  <r>
    <s v="TX500230"/>
    <x v="10"/>
    <x v="3"/>
    <x v="204"/>
    <n v="386.40000000000003"/>
    <d v="2025-01-10T00:00:00"/>
    <d v="2025-01-11T00:00:00"/>
    <x v="1"/>
    <x v="2"/>
    <x v="0"/>
    <x v="0"/>
    <x v="11"/>
    <x v="3"/>
    <x v="1"/>
    <x v="1"/>
  </r>
  <r>
    <s v="TX500231"/>
    <x v="6"/>
    <x v="0"/>
    <x v="205"/>
    <n v="62"/>
    <d v="2025-01-10T00:00:00"/>
    <d v="2025-01-14T00:00:00"/>
    <x v="2"/>
    <x v="0"/>
    <x v="0"/>
    <x v="0"/>
    <x v="11"/>
    <x v="5"/>
    <x v="1"/>
    <x v="2"/>
  </r>
  <r>
    <s v="TX500232"/>
    <x v="7"/>
    <x v="2"/>
    <x v="206"/>
    <n v="137.69999999999999"/>
    <d v="2025-01-10T00:00:00"/>
    <d v="2025-01-11T00:00:00"/>
    <x v="2"/>
    <x v="2"/>
    <x v="0"/>
    <x v="0"/>
    <x v="32"/>
    <x v="3"/>
    <x v="1"/>
    <x v="2"/>
  </r>
  <r>
    <s v="TX500233"/>
    <x v="18"/>
    <x v="2"/>
    <x v="207"/>
    <n v="174.89999999999998"/>
    <d v="2025-01-10T00:00:00"/>
    <d v="2025-01-10T00:00:00"/>
    <x v="1"/>
    <x v="1"/>
    <x v="1"/>
    <x v="0"/>
    <x v="18"/>
    <x v="7"/>
    <x v="1"/>
    <x v="1"/>
  </r>
  <r>
    <s v="TX500234"/>
    <x v="8"/>
    <x v="1"/>
    <x v="208"/>
    <n v="44.6"/>
    <d v="2025-01-10T00:00:00"/>
    <d v="2025-01-13T00:00:00"/>
    <x v="2"/>
    <x v="0"/>
    <x v="2"/>
    <x v="0"/>
    <x v="20"/>
    <x v="2"/>
    <x v="1"/>
    <x v="2"/>
  </r>
  <r>
    <s v="TX500235"/>
    <x v="19"/>
    <x v="9"/>
    <x v="209"/>
    <n v="120"/>
    <d v="2025-01-10T00:00:00"/>
    <d v="2025-01-11T00:00:00"/>
    <x v="1"/>
    <x v="4"/>
    <x v="0"/>
    <x v="0"/>
    <x v="1"/>
    <x v="3"/>
    <x v="1"/>
    <x v="1"/>
  </r>
  <r>
    <s v="TX500236"/>
    <x v="0"/>
    <x v="7"/>
    <x v="210"/>
    <n v="213"/>
    <d v="2025-01-10T00:00:00"/>
    <d v="2025-01-10T00:00:00"/>
    <x v="2"/>
    <x v="1"/>
    <x v="2"/>
    <x v="0"/>
    <x v="22"/>
    <x v="7"/>
    <x v="1"/>
    <x v="2"/>
  </r>
  <r>
    <s v="TX500237"/>
    <x v="6"/>
    <x v="24"/>
    <x v="211"/>
    <n v="2369.7999999999997"/>
    <d v="2025-01-10T00:00:00"/>
    <d v="2025-01-12T00:00:00"/>
    <x v="2"/>
    <x v="0"/>
    <x v="2"/>
    <x v="0"/>
    <x v="3"/>
    <x v="1"/>
    <x v="1"/>
    <x v="2"/>
  </r>
  <r>
    <s v="TX500238"/>
    <x v="10"/>
    <x v="2"/>
    <x v="212"/>
    <n v="202.79999999999998"/>
    <d v="2025-01-10T00:00:00"/>
    <d v="2025-01-11T00:00:00"/>
    <x v="2"/>
    <x v="0"/>
    <x v="0"/>
    <x v="0"/>
    <x v="3"/>
    <x v="3"/>
    <x v="1"/>
    <x v="2"/>
  </r>
  <r>
    <s v="TX500239"/>
    <x v="6"/>
    <x v="13"/>
    <x v="14"/>
    <n v="400.20000000000005"/>
    <d v="2025-01-10T00:00:00"/>
    <d v="2025-01-14T00:00:00"/>
    <x v="1"/>
    <x v="4"/>
    <x v="1"/>
    <x v="0"/>
    <x v="3"/>
    <x v="5"/>
    <x v="1"/>
    <x v="1"/>
  </r>
  <r>
    <s v="TX500240"/>
    <x v="1"/>
    <x v="12"/>
    <x v="213"/>
    <n v="212.4"/>
    <d v="2025-01-10T00:00:00"/>
    <d v="2025-01-12T00:00:00"/>
    <x v="2"/>
    <x v="1"/>
    <x v="0"/>
    <x v="0"/>
    <x v="3"/>
    <x v="1"/>
    <x v="1"/>
    <x v="2"/>
  </r>
  <r>
    <s v="TX500241"/>
    <x v="12"/>
    <x v="2"/>
    <x v="214"/>
    <n v="172.2"/>
    <d v="2025-01-10T00:00:00"/>
    <d v="2025-01-13T00:00:00"/>
    <x v="2"/>
    <x v="0"/>
    <x v="2"/>
    <x v="0"/>
    <x v="29"/>
    <x v="2"/>
    <x v="1"/>
    <x v="2"/>
  </r>
  <r>
    <s v="TX500242"/>
    <x v="2"/>
    <x v="9"/>
    <x v="215"/>
    <n v="290.5"/>
    <d v="2025-01-10T00:00:00"/>
    <d v="2025-01-10T00:00:00"/>
    <x v="1"/>
    <x v="2"/>
    <x v="2"/>
    <x v="0"/>
    <x v="6"/>
    <x v="7"/>
    <x v="1"/>
    <x v="1"/>
  </r>
  <r>
    <s v="TX500243"/>
    <x v="5"/>
    <x v="2"/>
    <x v="216"/>
    <n v="95.4"/>
    <d v="2025-01-11T00:00:00"/>
    <d v="2025-01-13T00:00:00"/>
    <x v="1"/>
    <x v="3"/>
    <x v="0"/>
    <x v="0"/>
    <x v="6"/>
    <x v="1"/>
    <x v="1"/>
    <x v="1"/>
  </r>
  <r>
    <s v="TX500244"/>
    <x v="4"/>
    <x v="2"/>
    <x v="217"/>
    <n v="94.5"/>
    <d v="2025-01-11T00:00:00"/>
    <d v="2025-01-14T00:00:00"/>
    <x v="1"/>
    <x v="0"/>
    <x v="1"/>
    <x v="0"/>
    <x v="8"/>
    <x v="2"/>
    <x v="1"/>
    <x v="1"/>
  </r>
  <r>
    <s v="TX500245"/>
    <x v="6"/>
    <x v="3"/>
    <x v="218"/>
    <n v="391.3"/>
    <d v="2025-01-11T00:00:00"/>
    <d v="2025-01-15T00:00:00"/>
    <x v="2"/>
    <x v="1"/>
    <x v="2"/>
    <x v="0"/>
    <x v="8"/>
    <x v="5"/>
    <x v="1"/>
    <x v="2"/>
  </r>
  <r>
    <s v="TX500246"/>
    <x v="8"/>
    <x v="1"/>
    <x v="128"/>
    <n v="72.8"/>
    <d v="2025-01-11T00:00:00"/>
    <d v="2025-01-12T00:00:00"/>
    <x v="1"/>
    <x v="1"/>
    <x v="1"/>
    <x v="0"/>
    <x v="9"/>
    <x v="3"/>
    <x v="1"/>
    <x v="1"/>
  </r>
  <r>
    <s v="TX500247"/>
    <x v="1"/>
    <x v="9"/>
    <x v="219"/>
    <n v="236.5"/>
    <d v="2025-01-11T00:00:00"/>
    <d v="2025-01-14T00:00:00"/>
    <x v="1"/>
    <x v="2"/>
    <x v="0"/>
    <x v="0"/>
    <x v="10"/>
    <x v="2"/>
    <x v="1"/>
    <x v="1"/>
  </r>
  <r>
    <s v="TX500248"/>
    <x v="6"/>
    <x v="2"/>
    <x v="220"/>
    <n v="247.5"/>
    <d v="2025-01-11T00:00:00"/>
    <d v="2025-01-12T00:00:00"/>
    <x v="1"/>
    <x v="0"/>
    <x v="0"/>
    <x v="0"/>
    <x v="11"/>
    <x v="3"/>
    <x v="1"/>
    <x v="1"/>
  </r>
  <r>
    <s v="TX500249"/>
    <x v="0"/>
    <x v="0"/>
    <x v="221"/>
    <n v="14.3"/>
    <d v="2025-01-11T00:00:00"/>
    <d v="2025-01-12T00:00:00"/>
    <x v="2"/>
    <x v="0"/>
    <x v="0"/>
    <x v="0"/>
    <x v="21"/>
    <x v="3"/>
    <x v="1"/>
    <x v="2"/>
  </r>
  <r>
    <s v="TX500250"/>
    <x v="2"/>
    <x v="13"/>
    <x v="222"/>
    <n v="345.6"/>
    <d v="2025-01-11T00:00:00"/>
    <d v="2025-01-25T00:00:00"/>
    <x v="2"/>
    <x v="0"/>
    <x v="0"/>
    <x v="0"/>
    <x v="21"/>
    <x v="12"/>
    <x v="1"/>
    <x v="2"/>
  </r>
  <r>
    <s v="TX500251"/>
    <x v="2"/>
    <x v="2"/>
    <x v="223"/>
    <n v="427.20000000000005"/>
    <d v="2025-01-11T00:00:00"/>
    <d v="2025-01-13T00:00:00"/>
    <x v="1"/>
    <x v="4"/>
    <x v="1"/>
    <x v="0"/>
    <x v="21"/>
    <x v="1"/>
    <x v="1"/>
    <x v="1"/>
  </r>
  <r>
    <s v="TX500252"/>
    <x v="12"/>
    <x v="0"/>
    <x v="224"/>
    <n v="30.2"/>
    <d v="2025-01-11T00:00:00"/>
    <d v="2025-01-15T00:00:00"/>
    <x v="1"/>
    <x v="1"/>
    <x v="2"/>
    <x v="0"/>
    <x v="2"/>
    <x v="5"/>
    <x v="1"/>
    <x v="1"/>
  </r>
  <r>
    <s v="TX500253"/>
    <x v="18"/>
    <x v="2"/>
    <x v="225"/>
    <n v="195.89999999999998"/>
    <d v="2025-01-11T00:00:00"/>
    <d v="2025-01-12T00:00:00"/>
    <x v="3"/>
    <x v="1"/>
    <x v="0"/>
    <x v="0"/>
    <x v="33"/>
    <x v="3"/>
    <x v="1"/>
    <x v="3"/>
  </r>
  <r>
    <s v="TX500254"/>
    <x v="0"/>
    <x v="1"/>
    <x v="172"/>
    <n v="66.8"/>
    <d v="2025-01-11T00:00:00"/>
    <d v="2025-01-12T00:00:00"/>
    <x v="1"/>
    <x v="1"/>
    <x v="1"/>
    <x v="0"/>
    <x v="22"/>
    <x v="3"/>
    <x v="1"/>
    <x v="1"/>
  </r>
  <r>
    <s v="TX500255"/>
    <x v="7"/>
    <x v="1"/>
    <x v="226"/>
    <n v="90.2"/>
    <d v="2025-01-11T00:00:00"/>
    <d v="2025-01-19T00:00:00"/>
    <x v="1"/>
    <x v="0"/>
    <x v="0"/>
    <x v="0"/>
    <x v="34"/>
    <x v="9"/>
    <x v="1"/>
    <x v="1"/>
  </r>
  <r>
    <s v="TX500256"/>
    <x v="2"/>
    <x v="3"/>
    <x v="227"/>
    <n v="431.90000000000003"/>
    <d v="2025-01-11T00:00:00"/>
    <d v="2025-01-13T00:00:00"/>
    <x v="2"/>
    <x v="4"/>
    <x v="0"/>
    <x v="0"/>
    <x v="3"/>
    <x v="1"/>
    <x v="1"/>
    <x v="2"/>
  </r>
  <r>
    <s v="TX500257"/>
    <x v="9"/>
    <x v="2"/>
    <x v="226"/>
    <n v="135.30000000000001"/>
    <d v="2025-01-12T00:00:00"/>
    <d v="2025-01-13T00:00:00"/>
    <x v="1"/>
    <x v="4"/>
    <x v="1"/>
    <x v="0"/>
    <x v="3"/>
    <x v="3"/>
    <x v="2"/>
    <x v="1"/>
  </r>
  <r>
    <s v="TX500258"/>
    <x v="15"/>
    <x v="9"/>
    <x v="188"/>
    <n v="113.5"/>
    <d v="2025-01-12T00:00:00"/>
    <d v="2025-01-17T00:00:00"/>
    <x v="1"/>
    <x v="0"/>
    <x v="2"/>
    <x v="0"/>
    <x v="35"/>
    <x v="0"/>
    <x v="2"/>
    <x v="1"/>
  </r>
  <r>
    <s v="TX500259"/>
    <x v="8"/>
    <x v="0"/>
    <x v="228"/>
    <n v="17.600000000000001"/>
    <d v="2025-01-12T00:00:00"/>
    <d v="2025-01-13T00:00:00"/>
    <x v="2"/>
    <x v="0"/>
    <x v="2"/>
    <x v="0"/>
    <x v="23"/>
    <x v="3"/>
    <x v="2"/>
    <x v="2"/>
  </r>
  <r>
    <s v="TX500260"/>
    <x v="14"/>
    <x v="1"/>
    <x v="229"/>
    <n v="22.6"/>
    <d v="2025-01-12T00:00:00"/>
    <d v="2025-01-15T00:00:00"/>
    <x v="2"/>
    <x v="3"/>
    <x v="2"/>
    <x v="0"/>
    <x v="23"/>
    <x v="2"/>
    <x v="2"/>
    <x v="2"/>
  </r>
  <r>
    <s v="TX500261"/>
    <x v="6"/>
    <x v="2"/>
    <x v="230"/>
    <n v="160.19999999999999"/>
    <d v="2025-01-12T00:00:00"/>
    <d v="2025-01-15T00:00:00"/>
    <x v="1"/>
    <x v="3"/>
    <x v="2"/>
    <x v="0"/>
    <x v="36"/>
    <x v="2"/>
    <x v="2"/>
    <x v="1"/>
  </r>
  <r>
    <s v="TX500262"/>
    <x v="6"/>
    <x v="5"/>
    <x v="18"/>
    <n v="562.1"/>
    <d v="2025-01-12T00:00:00"/>
    <d v="2025-01-14T00:00:00"/>
    <x v="2"/>
    <x v="2"/>
    <x v="2"/>
    <x v="0"/>
    <x v="8"/>
    <x v="1"/>
    <x v="2"/>
    <x v="2"/>
  </r>
  <r>
    <s v="TX500263"/>
    <x v="8"/>
    <x v="1"/>
    <x v="231"/>
    <n v="55"/>
    <d v="2025-01-12T00:00:00"/>
    <d v="2025-01-13T00:00:00"/>
    <x v="1"/>
    <x v="4"/>
    <x v="1"/>
    <x v="0"/>
    <x v="8"/>
    <x v="3"/>
    <x v="2"/>
    <x v="1"/>
  </r>
  <r>
    <s v="TX500264"/>
    <x v="9"/>
    <x v="0"/>
    <x v="232"/>
    <n v="33.5"/>
    <d v="2025-01-12T00:00:00"/>
    <d v="2025-01-14T00:00:00"/>
    <x v="2"/>
    <x v="0"/>
    <x v="4"/>
    <x v="0"/>
    <x v="8"/>
    <x v="1"/>
    <x v="2"/>
    <x v="2"/>
  </r>
  <r>
    <s v="TX500265"/>
    <x v="4"/>
    <x v="0"/>
    <x v="233"/>
    <n v="59.5"/>
    <d v="2025-01-12T00:00:00"/>
    <d v="2025-01-12T00:00:00"/>
    <x v="1"/>
    <x v="0"/>
    <x v="2"/>
    <x v="0"/>
    <x v="18"/>
    <x v="7"/>
    <x v="2"/>
    <x v="1"/>
  </r>
  <r>
    <s v="TX500266"/>
    <x v="17"/>
    <x v="12"/>
    <x v="234"/>
    <n v="94"/>
    <d v="2025-01-12T00:00:00"/>
    <d v="2025-01-13T00:00:00"/>
    <x v="2"/>
    <x v="3"/>
    <x v="3"/>
    <x v="0"/>
    <x v="19"/>
    <x v="3"/>
    <x v="2"/>
    <x v="2"/>
  </r>
  <r>
    <s v="TX500267"/>
    <x v="6"/>
    <x v="0"/>
    <x v="235"/>
    <n v="49.7"/>
    <d v="2025-01-12T00:00:00"/>
    <d v="2025-01-13T00:00:00"/>
    <x v="0"/>
    <x v="1"/>
    <x v="2"/>
    <x v="0"/>
    <x v="20"/>
    <x v="3"/>
    <x v="2"/>
    <x v="0"/>
  </r>
  <r>
    <s v="TX500268"/>
    <x v="6"/>
    <x v="12"/>
    <x v="236"/>
    <n v="176.8"/>
    <d v="2025-01-12T00:00:00"/>
    <d v="2025-01-15T00:00:00"/>
    <x v="2"/>
    <x v="0"/>
    <x v="2"/>
    <x v="0"/>
    <x v="21"/>
    <x v="2"/>
    <x v="2"/>
    <x v="2"/>
  </r>
  <r>
    <s v="TX500269"/>
    <x v="8"/>
    <x v="0"/>
    <x v="237"/>
    <n v="22.1"/>
    <d v="2025-01-12T00:00:00"/>
    <d v="2025-01-16T00:00:00"/>
    <x v="2"/>
    <x v="1"/>
    <x v="1"/>
    <x v="0"/>
    <x v="33"/>
    <x v="5"/>
    <x v="2"/>
    <x v="2"/>
  </r>
  <r>
    <s v="TX500270"/>
    <x v="6"/>
    <x v="2"/>
    <x v="238"/>
    <n v="272.70000000000005"/>
    <d v="2025-01-12T00:00:00"/>
    <d v="2025-01-13T00:00:00"/>
    <x v="2"/>
    <x v="2"/>
    <x v="4"/>
    <x v="0"/>
    <x v="3"/>
    <x v="3"/>
    <x v="2"/>
    <x v="2"/>
  </r>
  <r>
    <s v="TX500271"/>
    <x v="8"/>
    <x v="2"/>
    <x v="239"/>
    <n v="133.5"/>
    <d v="2025-01-12T00:00:00"/>
    <d v="2025-01-13T00:00:00"/>
    <x v="2"/>
    <x v="1"/>
    <x v="0"/>
    <x v="0"/>
    <x v="3"/>
    <x v="3"/>
    <x v="2"/>
    <x v="2"/>
  </r>
  <r>
    <s v="TX500272"/>
    <x v="9"/>
    <x v="13"/>
    <x v="240"/>
    <n v="193.79999999999998"/>
    <d v="2025-01-12T00:00:00"/>
    <d v="2025-01-16T00:00:00"/>
    <x v="2"/>
    <x v="0"/>
    <x v="0"/>
    <x v="0"/>
    <x v="3"/>
    <x v="5"/>
    <x v="2"/>
    <x v="2"/>
  </r>
  <r>
    <s v="TX500273"/>
    <x v="17"/>
    <x v="2"/>
    <x v="241"/>
    <n v="262.5"/>
    <d v="2025-01-12T00:00:00"/>
    <d v="2025-01-13T00:00:00"/>
    <x v="2"/>
    <x v="1"/>
    <x v="1"/>
    <x v="0"/>
    <x v="3"/>
    <x v="3"/>
    <x v="2"/>
    <x v="2"/>
  </r>
  <r>
    <s v="TX500274"/>
    <x v="16"/>
    <x v="9"/>
    <x v="242"/>
    <n v="243.5"/>
    <d v="2025-01-12T00:00:00"/>
    <d v="2025-01-13T00:00:00"/>
    <x v="1"/>
    <x v="2"/>
    <x v="0"/>
    <x v="0"/>
    <x v="3"/>
    <x v="3"/>
    <x v="2"/>
    <x v="1"/>
  </r>
  <r>
    <s v="TX500275"/>
    <x v="0"/>
    <x v="9"/>
    <x v="243"/>
    <n v="112.5"/>
    <d v="2025-01-12T00:00:00"/>
    <d v="2025-01-13T00:00:00"/>
    <x v="1"/>
    <x v="0"/>
    <x v="0"/>
    <x v="0"/>
    <x v="3"/>
    <x v="3"/>
    <x v="2"/>
    <x v="1"/>
  </r>
  <r>
    <s v="TX500276"/>
    <x v="1"/>
    <x v="8"/>
    <x v="244"/>
    <n v="527.20000000000005"/>
    <d v="2025-01-12T00:00:00"/>
    <d v="2025-01-15T00:00:00"/>
    <x v="2"/>
    <x v="1"/>
    <x v="2"/>
    <x v="0"/>
    <x v="3"/>
    <x v="2"/>
    <x v="2"/>
    <x v="2"/>
  </r>
  <r>
    <s v="TX500277"/>
    <x v="6"/>
    <x v="9"/>
    <x v="245"/>
    <n v="209.5"/>
    <d v="2025-01-12T00:00:00"/>
    <d v="2025-01-19T00:00:00"/>
    <x v="0"/>
    <x v="0"/>
    <x v="0"/>
    <x v="0"/>
    <x v="3"/>
    <x v="6"/>
    <x v="2"/>
    <x v="0"/>
  </r>
  <r>
    <s v="TX500278"/>
    <x v="1"/>
    <x v="9"/>
    <x v="246"/>
    <n v="337.5"/>
    <d v="2025-01-12T00:00:00"/>
    <d v="2025-01-13T00:00:00"/>
    <x v="2"/>
    <x v="0"/>
    <x v="2"/>
    <x v="0"/>
    <x v="3"/>
    <x v="3"/>
    <x v="2"/>
    <x v="2"/>
  </r>
  <r>
    <s v="TX500279"/>
    <x v="9"/>
    <x v="0"/>
    <x v="247"/>
    <n v="60.4"/>
    <d v="2025-01-13T00:00:00"/>
    <d v="2025-01-15T00:00:00"/>
    <x v="2"/>
    <x v="1"/>
    <x v="1"/>
    <x v="0"/>
    <x v="3"/>
    <x v="1"/>
    <x v="2"/>
    <x v="2"/>
  </r>
  <r>
    <s v="TX500280"/>
    <x v="1"/>
    <x v="3"/>
    <x v="248"/>
    <n v="212.79999999999998"/>
    <d v="2025-01-13T00:00:00"/>
    <d v="2025-01-16T00:00:00"/>
    <x v="2"/>
    <x v="4"/>
    <x v="0"/>
    <x v="0"/>
    <x v="3"/>
    <x v="2"/>
    <x v="2"/>
    <x v="2"/>
  </r>
  <r>
    <s v="TX500281"/>
    <x v="14"/>
    <x v="1"/>
    <x v="249"/>
    <n v="49"/>
    <d v="2025-01-13T00:00:00"/>
    <d v="2025-01-14T00:00:00"/>
    <x v="1"/>
    <x v="3"/>
    <x v="2"/>
    <x v="0"/>
    <x v="3"/>
    <x v="3"/>
    <x v="2"/>
    <x v="1"/>
  </r>
  <r>
    <s v="TX500282"/>
    <x v="2"/>
    <x v="2"/>
    <x v="250"/>
    <n v="317.70000000000005"/>
    <d v="2025-01-13T00:00:00"/>
    <d v="2025-01-18T00:00:00"/>
    <x v="1"/>
    <x v="0"/>
    <x v="0"/>
    <x v="0"/>
    <x v="37"/>
    <x v="0"/>
    <x v="2"/>
    <x v="1"/>
  </r>
  <r>
    <s v="TX500283"/>
    <x v="10"/>
    <x v="25"/>
    <x v="122"/>
    <n v="621.59999999999991"/>
    <d v="2025-01-13T00:00:00"/>
    <d v="2025-01-14T00:00:00"/>
    <x v="2"/>
    <x v="4"/>
    <x v="0"/>
    <x v="0"/>
    <x v="23"/>
    <x v="3"/>
    <x v="2"/>
    <x v="2"/>
  </r>
  <r>
    <s v="TX500284"/>
    <x v="6"/>
    <x v="2"/>
    <x v="114"/>
    <n v="200.39999999999998"/>
    <d v="2025-01-13T00:00:00"/>
    <d v="2025-01-13T00:00:00"/>
    <x v="1"/>
    <x v="0"/>
    <x v="0"/>
    <x v="0"/>
    <x v="23"/>
    <x v="7"/>
    <x v="2"/>
    <x v="1"/>
  </r>
  <r>
    <s v="TX500285"/>
    <x v="6"/>
    <x v="2"/>
    <x v="251"/>
    <n v="336.9"/>
    <d v="2025-01-13T00:00:00"/>
    <d v="2025-01-14T00:00:00"/>
    <x v="1"/>
    <x v="2"/>
    <x v="4"/>
    <x v="0"/>
    <x v="6"/>
    <x v="3"/>
    <x v="2"/>
    <x v="1"/>
  </r>
  <r>
    <s v="TX500286"/>
    <x v="1"/>
    <x v="13"/>
    <x v="252"/>
    <n v="564.59999999999991"/>
    <d v="2025-01-13T00:00:00"/>
    <d v="2025-01-14T00:00:00"/>
    <x v="2"/>
    <x v="0"/>
    <x v="4"/>
    <x v="0"/>
    <x v="6"/>
    <x v="3"/>
    <x v="2"/>
    <x v="2"/>
  </r>
  <r>
    <s v="TX500287"/>
    <x v="5"/>
    <x v="0"/>
    <x v="253"/>
    <n v="40.700000000000003"/>
    <d v="2025-01-13T00:00:00"/>
    <d v="2025-01-16T00:00:00"/>
    <x v="2"/>
    <x v="2"/>
    <x v="0"/>
    <x v="0"/>
    <x v="6"/>
    <x v="2"/>
    <x v="2"/>
    <x v="2"/>
  </r>
  <r>
    <s v="TX500288"/>
    <x v="3"/>
    <x v="1"/>
    <x v="254"/>
    <n v="142.80000000000001"/>
    <d v="2025-01-13T00:00:00"/>
    <d v="2025-01-14T00:00:00"/>
    <x v="1"/>
    <x v="0"/>
    <x v="0"/>
    <x v="0"/>
    <x v="7"/>
    <x v="3"/>
    <x v="2"/>
    <x v="1"/>
  </r>
  <r>
    <s v="TX500289"/>
    <x v="0"/>
    <x v="16"/>
    <x v="255"/>
    <n v="280.8"/>
    <d v="2025-01-13T00:00:00"/>
    <d v="2025-01-14T00:00:00"/>
    <x v="1"/>
    <x v="1"/>
    <x v="3"/>
    <x v="0"/>
    <x v="8"/>
    <x v="3"/>
    <x v="2"/>
    <x v="1"/>
  </r>
  <r>
    <s v="TX500290"/>
    <x v="10"/>
    <x v="12"/>
    <x v="256"/>
    <n v="151.19999999999999"/>
    <d v="2025-01-13T00:00:00"/>
    <d v="2025-01-14T00:00:00"/>
    <x v="1"/>
    <x v="2"/>
    <x v="2"/>
    <x v="0"/>
    <x v="8"/>
    <x v="3"/>
    <x v="2"/>
    <x v="1"/>
  </r>
  <r>
    <s v="TX500291"/>
    <x v="4"/>
    <x v="2"/>
    <x v="257"/>
    <n v="84.300000000000011"/>
    <d v="2025-01-13T00:00:00"/>
    <d v="2025-01-17T00:00:00"/>
    <x v="1"/>
    <x v="0"/>
    <x v="0"/>
    <x v="0"/>
    <x v="8"/>
    <x v="5"/>
    <x v="2"/>
    <x v="1"/>
  </r>
  <r>
    <s v="TX500292"/>
    <x v="7"/>
    <x v="13"/>
    <x v="258"/>
    <n v="308.39999999999998"/>
    <d v="2025-01-13T00:00:00"/>
    <d v="2025-01-17T00:00:00"/>
    <x v="1"/>
    <x v="0"/>
    <x v="0"/>
    <x v="0"/>
    <x v="8"/>
    <x v="5"/>
    <x v="2"/>
    <x v="1"/>
  </r>
  <r>
    <s v="TX500293"/>
    <x v="7"/>
    <x v="1"/>
    <x v="67"/>
    <n v="195.4"/>
    <d v="2025-01-13T00:00:00"/>
    <d v="2025-01-15T00:00:00"/>
    <x v="2"/>
    <x v="4"/>
    <x v="2"/>
    <x v="0"/>
    <x v="17"/>
    <x v="1"/>
    <x v="2"/>
    <x v="2"/>
  </r>
  <r>
    <s v="TX500294"/>
    <x v="1"/>
    <x v="12"/>
    <x v="259"/>
    <n v="255.2"/>
    <d v="2025-01-13T00:00:00"/>
    <d v="2025-01-14T00:00:00"/>
    <x v="1"/>
    <x v="2"/>
    <x v="0"/>
    <x v="0"/>
    <x v="38"/>
    <x v="3"/>
    <x v="2"/>
    <x v="1"/>
  </r>
  <r>
    <s v="TX500295"/>
    <x v="13"/>
    <x v="1"/>
    <x v="260"/>
    <n v="40.200000000000003"/>
    <d v="2025-01-13T00:00:00"/>
    <d v="2025-01-15T00:00:00"/>
    <x v="1"/>
    <x v="0"/>
    <x v="2"/>
    <x v="0"/>
    <x v="20"/>
    <x v="1"/>
    <x v="2"/>
    <x v="1"/>
  </r>
  <r>
    <s v="TX500296"/>
    <x v="11"/>
    <x v="2"/>
    <x v="88"/>
    <n v="151.19999999999999"/>
    <d v="2025-01-13T00:00:00"/>
    <d v="2025-01-16T00:00:00"/>
    <x v="2"/>
    <x v="3"/>
    <x v="0"/>
    <x v="0"/>
    <x v="13"/>
    <x v="2"/>
    <x v="2"/>
    <x v="2"/>
  </r>
  <r>
    <s v="TX500297"/>
    <x v="0"/>
    <x v="0"/>
    <x v="261"/>
    <n v="16.2"/>
    <d v="2025-01-13T00:00:00"/>
    <d v="2025-01-26T00:00:00"/>
    <x v="2"/>
    <x v="1"/>
    <x v="0"/>
    <x v="0"/>
    <x v="1"/>
    <x v="10"/>
    <x v="2"/>
    <x v="2"/>
  </r>
  <r>
    <s v="TX500298"/>
    <x v="6"/>
    <x v="3"/>
    <x v="262"/>
    <n v="566.30000000000007"/>
    <d v="2025-01-13T00:00:00"/>
    <d v="2025-01-15T00:00:00"/>
    <x v="1"/>
    <x v="4"/>
    <x v="4"/>
    <x v="0"/>
    <x v="2"/>
    <x v="1"/>
    <x v="2"/>
    <x v="1"/>
  </r>
  <r>
    <s v="TX500299"/>
    <x v="9"/>
    <x v="13"/>
    <x v="263"/>
    <n v="571.20000000000005"/>
    <d v="2025-01-13T00:00:00"/>
    <d v="2025-01-15T00:00:00"/>
    <x v="2"/>
    <x v="0"/>
    <x v="2"/>
    <x v="0"/>
    <x v="2"/>
    <x v="1"/>
    <x v="2"/>
    <x v="2"/>
  </r>
  <r>
    <s v="TX500300"/>
    <x v="5"/>
    <x v="8"/>
    <x v="264"/>
    <n v="563.20000000000005"/>
    <d v="2025-01-13T00:00:00"/>
    <d v="2025-01-14T00:00:00"/>
    <x v="1"/>
    <x v="1"/>
    <x v="1"/>
    <x v="0"/>
    <x v="3"/>
    <x v="3"/>
    <x v="2"/>
    <x v="1"/>
  </r>
  <r>
    <s v="TX500301"/>
    <x v="0"/>
    <x v="9"/>
    <x v="265"/>
    <n v="53.5"/>
    <d v="2025-01-13T00:00:00"/>
    <d v="2025-01-17T00:00:00"/>
    <x v="2"/>
    <x v="2"/>
    <x v="0"/>
    <x v="0"/>
    <x v="3"/>
    <x v="5"/>
    <x v="2"/>
    <x v="2"/>
  </r>
  <r>
    <s v="TX500302"/>
    <x v="8"/>
    <x v="9"/>
    <x v="266"/>
    <n v="98"/>
    <d v="2025-01-13T00:00:00"/>
    <d v="2025-01-15T00:00:00"/>
    <x v="2"/>
    <x v="0"/>
    <x v="3"/>
    <x v="0"/>
    <x v="3"/>
    <x v="1"/>
    <x v="2"/>
    <x v="2"/>
  </r>
  <r>
    <s v="TX500303"/>
    <x v="8"/>
    <x v="5"/>
    <x v="267"/>
    <n v="381.70000000000005"/>
    <d v="2025-01-13T00:00:00"/>
    <d v="2025-01-15T00:00:00"/>
    <x v="2"/>
    <x v="0"/>
    <x v="2"/>
    <x v="0"/>
    <x v="3"/>
    <x v="1"/>
    <x v="2"/>
    <x v="2"/>
  </r>
  <r>
    <s v="TX500304"/>
    <x v="10"/>
    <x v="11"/>
    <x v="268"/>
    <n v="306.90000000000003"/>
    <d v="2025-01-13T00:00:00"/>
    <d v="2025-01-14T00:00:00"/>
    <x v="2"/>
    <x v="4"/>
    <x v="1"/>
    <x v="0"/>
    <x v="3"/>
    <x v="3"/>
    <x v="2"/>
    <x v="2"/>
  </r>
  <r>
    <s v="TX500305"/>
    <x v="0"/>
    <x v="26"/>
    <x v="143"/>
    <n v="1435.7"/>
    <d v="2025-01-13T00:00:00"/>
    <d v="2025-01-13T00:00:00"/>
    <x v="1"/>
    <x v="0"/>
    <x v="1"/>
    <x v="0"/>
    <x v="3"/>
    <x v="7"/>
    <x v="2"/>
    <x v="1"/>
  </r>
  <r>
    <s v="TX500306"/>
    <x v="1"/>
    <x v="0"/>
    <x v="204"/>
    <n v="55.2"/>
    <d v="2025-01-13T00:00:00"/>
    <d v="2025-01-14T00:00:00"/>
    <x v="2"/>
    <x v="0"/>
    <x v="1"/>
    <x v="0"/>
    <x v="3"/>
    <x v="3"/>
    <x v="2"/>
    <x v="2"/>
  </r>
  <r>
    <s v="TX500307"/>
    <x v="18"/>
    <x v="2"/>
    <x v="269"/>
    <n v="78"/>
    <d v="2025-01-13T00:00:00"/>
    <d v="2025-01-16T00:00:00"/>
    <x v="2"/>
    <x v="0"/>
    <x v="2"/>
    <x v="0"/>
    <x v="3"/>
    <x v="2"/>
    <x v="2"/>
    <x v="2"/>
  </r>
  <r>
    <s v="TX500308"/>
    <x v="14"/>
    <x v="1"/>
    <x v="270"/>
    <n v="28.4"/>
    <d v="2025-01-13T00:00:00"/>
    <d v="2025-01-18T00:00:00"/>
    <x v="2"/>
    <x v="3"/>
    <x v="0"/>
    <x v="0"/>
    <x v="39"/>
    <x v="0"/>
    <x v="2"/>
    <x v="2"/>
  </r>
  <r>
    <s v="TX500309"/>
    <x v="8"/>
    <x v="11"/>
    <x v="188"/>
    <n v="204.29999999999998"/>
    <d v="2025-01-14T00:00:00"/>
    <d v="2025-01-15T00:00:00"/>
    <x v="1"/>
    <x v="1"/>
    <x v="0"/>
    <x v="0"/>
    <x v="6"/>
    <x v="3"/>
    <x v="2"/>
    <x v="1"/>
  </r>
  <r>
    <s v="TX500310"/>
    <x v="0"/>
    <x v="20"/>
    <x v="82"/>
    <n v="297"/>
    <d v="2025-01-14T00:00:00"/>
    <d v="2025-01-14T00:00:00"/>
    <x v="2"/>
    <x v="0"/>
    <x v="2"/>
    <x v="0"/>
    <x v="6"/>
    <x v="7"/>
    <x v="2"/>
    <x v="2"/>
  </r>
  <r>
    <s v="TX500311"/>
    <x v="0"/>
    <x v="2"/>
    <x v="132"/>
    <n v="95.1"/>
    <d v="2025-01-14T00:00:00"/>
    <d v="2025-01-15T00:00:00"/>
    <x v="1"/>
    <x v="2"/>
    <x v="0"/>
    <x v="0"/>
    <x v="6"/>
    <x v="3"/>
    <x v="2"/>
    <x v="1"/>
  </r>
  <r>
    <s v="TX500312"/>
    <x v="8"/>
    <x v="12"/>
    <x v="248"/>
    <n v="121.6"/>
    <d v="2025-01-14T00:00:00"/>
    <d v="2025-01-18T00:00:00"/>
    <x v="1"/>
    <x v="0"/>
    <x v="0"/>
    <x v="0"/>
    <x v="6"/>
    <x v="5"/>
    <x v="2"/>
    <x v="1"/>
  </r>
  <r>
    <s v="TX500313"/>
    <x v="0"/>
    <x v="12"/>
    <x v="170"/>
    <n v="102.4"/>
    <d v="2025-01-14T00:00:00"/>
    <d v="2025-01-15T00:00:00"/>
    <x v="1"/>
    <x v="3"/>
    <x v="0"/>
    <x v="0"/>
    <x v="8"/>
    <x v="3"/>
    <x v="2"/>
    <x v="1"/>
  </r>
  <r>
    <s v="TX500314"/>
    <x v="5"/>
    <x v="1"/>
    <x v="271"/>
    <n v="69.8"/>
    <d v="2025-01-14T00:00:00"/>
    <d v="2025-01-15T00:00:00"/>
    <x v="2"/>
    <x v="2"/>
    <x v="0"/>
    <x v="0"/>
    <x v="9"/>
    <x v="3"/>
    <x v="2"/>
    <x v="2"/>
  </r>
  <r>
    <s v="TX500315"/>
    <x v="7"/>
    <x v="13"/>
    <x v="272"/>
    <n v="256.20000000000005"/>
    <d v="2025-01-14T00:00:00"/>
    <d v="2025-01-17T00:00:00"/>
    <x v="1"/>
    <x v="2"/>
    <x v="1"/>
    <x v="0"/>
    <x v="11"/>
    <x v="2"/>
    <x v="2"/>
    <x v="1"/>
  </r>
  <r>
    <s v="TX500316"/>
    <x v="8"/>
    <x v="0"/>
    <x v="273"/>
    <n v="23.9"/>
    <d v="2025-01-14T00:00:00"/>
    <d v="2025-01-16T00:00:00"/>
    <x v="2"/>
    <x v="3"/>
    <x v="0"/>
    <x v="0"/>
    <x v="11"/>
    <x v="1"/>
    <x v="2"/>
    <x v="2"/>
  </r>
  <r>
    <s v="TX500317"/>
    <x v="6"/>
    <x v="0"/>
    <x v="274"/>
    <n v="124.3"/>
    <d v="2025-01-14T00:00:00"/>
    <d v="2025-01-15T00:00:00"/>
    <x v="0"/>
    <x v="2"/>
    <x v="1"/>
    <x v="0"/>
    <x v="21"/>
    <x v="3"/>
    <x v="2"/>
    <x v="0"/>
  </r>
  <r>
    <s v="TX500318"/>
    <x v="8"/>
    <x v="13"/>
    <x v="275"/>
    <n v="215.39999999999998"/>
    <d v="2025-01-14T00:00:00"/>
    <d v="2025-01-15T00:00:00"/>
    <x v="2"/>
    <x v="0"/>
    <x v="1"/>
    <x v="0"/>
    <x v="1"/>
    <x v="3"/>
    <x v="2"/>
    <x v="2"/>
  </r>
  <r>
    <s v="TX500319"/>
    <x v="2"/>
    <x v="1"/>
    <x v="276"/>
    <n v="138.19999999999999"/>
    <d v="2025-01-14T00:00:00"/>
    <d v="2025-01-17T00:00:00"/>
    <x v="2"/>
    <x v="0"/>
    <x v="2"/>
    <x v="0"/>
    <x v="22"/>
    <x v="2"/>
    <x v="2"/>
    <x v="2"/>
  </r>
  <r>
    <s v="TX500320"/>
    <x v="7"/>
    <x v="0"/>
    <x v="277"/>
    <n v="58.4"/>
    <d v="2025-01-14T00:00:00"/>
    <d v="2025-01-18T00:00:00"/>
    <x v="1"/>
    <x v="0"/>
    <x v="0"/>
    <x v="0"/>
    <x v="22"/>
    <x v="5"/>
    <x v="2"/>
    <x v="1"/>
  </r>
  <r>
    <s v="TX500321"/>
    <x v="5"/>
    <x v="0"/>
    <x v="203"/>
    <n v="65.2"/>
    <d v="2025-01-14T00:00:00"/>
    <d v="2025-01-16T00:00:00"/>
    <x v="3"/>
    <x v="4"/>
    <x v="4"/>
    <x v="0"/>
    <x v="3"/>
    <x v="1"/>
    <x v="2"/>
    <x v="3"/>
  </r>
  <r>
    <s v="TX500322"/>
    <x v="8"/>
    <x v="14"/>
    <x v="195"/>
    <n v="555.90000000000009"/>
    <d v="2025-01-14T00:00:00"/>
    <d v="2025-01-21T00:00:00"/>
    <x v="0"/>
    <x v="4"/>
    <x v="0"/>
    <x v="0"/>
    <x v="3"/>
    <x v="6"/>
    <x v="2"/>
    <x v="0"/>
  </r>
  <r>
    <s v="TX500323"/>
    <x v="10"/>
    <x v="3"/>
    <x v="278"/>
    <n v="170.79999999999998"/>
    <d v="2025-01-14T00:00:00"/>
    <d v="2025-01-15T00:00:00"/>
    <x v="2"/>
    <x v="0"/>
    <x v="0"/>
    <x v="0"/>
    <x v="3"/>
    <x v="3"/>
    <x v="2"/>
    <x v="2"/>
  </r>
  <r>
    <s v="TX500324"/>
    <x v="14"/>
    <x v="1"/>
    <x v="88"/>
    <n v="100.8"/>
    <d v="2025-01-14T00:00:00"/>
    <d v="2025-01-20T00:00:00"/>
    <x v="1"/>
    <x v="0"/>
    <x v="1"/>
    <x v="0"/>
    <x v="3"/>
    <x v="4"/>
    <x v="2"/>
    <x v="1"/>
  </r>
  <r>
    <s v="TX500325"/>
    <x v="1"/>
    <x v="1"/>
    <x v="279"/>
    <n v="200"/>
    <d v="2025-01-14T00:00:00"/>
    <d v="2025-01-15T00:00:00"/>
    <x v="2"/>
    <x v="0"/>
    <x v="0"/>
    <x v="0"/>
    <x v="3"/>
    <x v="3"/>
    <x v="2"/>
    <x v="2"/>
  </r>
  <r>
    <s v="TX500326"/>
    <x v="10"/>
    <x v="2"/>
    <x v="280"/>
    <n v="129"/>
    <d v="2025-01-15T00:00:00"/>
    <d v="2025-01-15T00:00:00"/>
    <x v="2"/>
    <x v="2"/>
    <x v="1"/>
    <x v="0"/>
    <x v="3"/>
    <x v="7"/>
    <x v="2"/>
    <x v="2"/>
  </r>
  <r>
    <s v="TX500327"/>
    <x v="1"/>
    <x v="9"/>
    <x v="281"/>
    <n v="322"/>
    <d v="2025-01-15T00:00:00"/>
    <d v="2025-01-17T00:00:00"/>
    <x v="1"/>
    <x v="2"/>
    <x v="1"/>
    <x v="0"/>
    <x v="3"/>
    <x v="1"/>
    <x v="2"/>
    <x v="1"/>
  </r>
  <r>
    <s v="TX500328"/>
    <x v="18"/>
    <x v="1"/>
    <x v="214"/>
    <n v="114.8"/>
    <d v="2025-01-15T00:00:00"/>
    <d v="2025-01-16T00:00:00"/>
    <x v="1"/>
    <x v="2"/>
    <x v="1"/>
    <x v="0"/>
    <x v="3"/>
    <x v="3"/>
    <x v="2"/>
    <x v="1"/>
  </r>
  <r>
    <s v="TX500329"/>
    <x v="2"/>
    <x v="2"/>
    <x v="282"/>
    <n v="165.3"/>
    <d v="2025-01-15T00:00:00"/>
    <d v="2025-01-18T00:00:00"/>
    <x v="2"/>
    <x v="1"/>
    <x v="0"/>
    <x v="0"/>
    <x v="3"/>
    <x v="2"/>
    <x v="2"/>
    <x v="2"/>
  </r>
  <r>
    <s v="TX500330"/>
    <x v="7"/>
    <x v="12"/>
    <x v="102"/>
    <n v="181.6"/>
    <d v="2025-01-15T00:00:00"/>
    <d v="2025-01-16T00:00:00"/>
    <x v="2"/>
    <x v="1"/>
    <x v="0"/>
    <x v="0"/>
    <x v="3"/>
    <x v="3"/>
    <x v="2"/>
    <x v="2"/>
  </r>
  <r>
    <s v="TX500331"/>
    <x v="3"/>
    <x v="2"/>
    <x v="283"/>
    <n v="279.89999999999998"/>
    <d v="2025-01-15T00:00:00"/>
    <d v="2025-01-16T00:00:00"/>
    <x v="2"/>
    <x v="0"/>
    <x v="0"/>
    <x v="0"/>
    <x v="40"/>
    <x v="3"/>
    <x v="2"/>
    <x v="2"/>
  </r>
  <r>
    <s v="TX500332"/>
    <x v="2"/>
    <x v="10"/>
    <x v="284"/>
    <n v="3005.7999999999997"/>
    <d v="2025-01-15T00:00:00"/>
    <d v="2025-01-16T00:00:00"/>
    <x v="2"/>
    <x v="1"/>
    <x v="2"/>
    <x v="0"/>
    <x v="16"/>
    <x v="3"/>
    <x v="2"/>
    <x v="2"/>
  </r>
  <r>
    <s v="TX500333"/>
    <x v="2"/>
    <x v="1"/>
    <x v="285"/>
    <n v="149.80000000000001"/>
    <d v="2025-01-15T00:00:00"/>
    <d v="2025-01-17T00:00:00"/>
    <x v="1"/>
    <x v="3"/>
    <x v="0"/>
    <x v="0"/>
    <x v="6"/>
    <x v="1"/>
    <x v="2"/>
    <x v="1"/>
  </r>
  <r>
    <s v="TX500334"/>
    <x v="8"/>
    <x v="3"/>
    <x v="269"/>
    <n v="182"/>
    <d v="2025-01-15T00:00:00"/>
    <d v="2025-01-18T00:00:00"/>
    <x v="2"/>
    <x v="1"/>
    <x v="0"/>
    <x v="0"/>
    <x v="8"/>
    <x v="2"/>
    <x v="2"/>
    <x v="2"/>
  </r>
  <r>
    <s v="TX500335"/>
    <x v="9"/>
    <x v="13"/>
    <x v="151"/>
    <n v="225"/>
    <d v="2025-01-15T00:00:00"/>
    <d v="2025-01-16T00:00:00"/>
    <x v="2"/>
    <x v="0"/>
    <x v="1"/>
    <x v="0"/>
    <x v="8"/>
    <x v="3"/>
    <x v="2"/>
    <x v="2"/>
  </r>
  <r>
    <s v="TX500336"/>
    <x v="6"/>
    <x v="1"/>
    <x v="124"/>
    <n v="151.6"/>
    <d v="2025-01-15T00:00:00"/>
    <d v="2025-01-21T00:00:00"/>
    <x v="1"/>
    <x v="0"/>
    <x v="0"/>
    <x v="0"/>
    <x v="8"/>
    <x v="4"/>
    <x v="2"/>
    <x v="1"/>
  </r>
  <r>
    <s v="TX500337"/>
    <x v="7"/>
    <x v="0"/>
    <x v="286"/>
    <n v="48.5"/>
    <d v="2025-01-15T00:00:00"/>
    <d v="2025-01-27T00:00:00"/>
    <x v="0"/>
    <x v="4"/>
    <x v="2"/>
    <x v="0"/>
    <x v="8"/>
    <x v="13"/>
    <x v="2"/>
    <x v="0"/>
  </r>
  <r>
    <s v="TX500338"/>
    <x v="6"/>
    <x v="2"/>
    <x v="287"/>
    <n v="296.70000000000005"/>
    <d v="2025-01-15T00:00:00"/>
    <d v="2025-01-17T00:00:00"/>
    <x v="2"/>
    <x v="4"/>
    <x v="1"/>
    <x v="0"/>
    <x v="8"/>
    <x v="1"/>
    <x v="2"/>
    <x v="2"/>
  </r>
  <r>
    <s v="TX500339"/>
    <x v="1"/>
    <x v="4"/>
    <x v="28"/>
    <n v="610.79999999999995"/>
    <d v="2025-01-15T00:00:00"/>
    <d v="2025-01-15T00:00:00"/>
    <x v="1"/>
    <x v="4"/>
    <x v="0"/>
    <x v="0"/>
    <x v="8"/>
    <x v="7"/>
    <x v="2"/>
    <x v="1"/>
  </r>
  <r>
    <s v="TX500340"/>
    <x v="12"/>
    <x v="13"/>
    <x v="288"/>
    <n v="508.20000000000005"/>
    <d v="2025-01-15T00:00:00"/>
    <d v="2025-01-15T00:00:00"/>
    <x v="2"/>
    <x v="2"/>
    <x v="0"/>
    <x v="0"/>
    <x v="8"/>
    <x v="7"/>
    <x v="2"/>
    <x v="2"/>
  </r>
  <r>
    <s v="TX500341"/>
    <x v="8"/>
    <x v="0"/>
    <x v="289"/>
    <n v="20.7"/>
    <d v="2025-01-15T00:00:00"/>
    <d v="2025-01-17T00:00:00"/>
    <x v="2"/>
    <x v="3"/>
    <x v="2"/>
    <x v="0"/>
    <x v="8"/>
    <x v="1"/>
    <x v="2"/>
    <x v="2"/>
  </r>
  <r>
    <s v="TX500342"/>
    <x v="12"/>
    <x v="11"/>
    <x v="211"/>
    <n v="520.19999999999993"/>
    <d v="2025-01-15T00:00:00"/>
    <d v="2025-01-26T00:00:00"/>
    <x v="1"/>
    <x v="0"/>
    <x v="4"/>
    <x v="0"/>
    <x v="17"/>
    <x v="11"/>
    <x v="2"/>
    <x v="1"/>
  </r>
  <r>
    <s v="TX500343"/>
    <x v="2"/>
    <x v="1"/>
    <x v="290"/>
    <n v="213.8"/>
    <d v="2025-01-15T00:00:00"/>
    <d v="2025-01-17T00:00:00"/>
    <x v="2"/>
    <x v="0"/>
    <x v="2"/>
    <x v="0"/>
    <x v="41"/>
    <x v="1"/>
    <x v="2"/>
    <x v="2"/>
  </r>
  <r>
    <s v="TX500344"/>
    <x v="3"/>
    <x v="9"/>
    <x v="291"/>
    <n v="226"/>
    <d v="2025-01-15T00:00:00"/>
    <d v="2025-01-19T00:00:00"/>
    <x v="2"/>
    <x v="1"/>
    <x v="0"/>
    <x v="0"/>
    <x v="21"/>
    <x v="5"/>
    <x v="2"/>
    <x v="2"/>
  </r>
  <r>
    <s v="TX500345"/>
    <x v="8"/>
    <x v="15"/>
    <x v="292"/>
    <n v="449.8"/>
    <d v="2025-01-15T00:00:00"/>
    <d v="2025-01-15T00:00:00"/>
    <x v="2"/>
    <x v="1"/>
    <x v="1"/>
    <x v="0"/>
    <x v="21"/>
    <x v="7"/>
    <x v="2"/>
    <x v="2"/>
  </r>
  <r>
    <s v="TX500346"/>
    <x v="15"/>
    <x v="0"/>
    <x v="20"/>
    <n v="43.8"/>
    <d v="2025-01-15T00:00:00"/>
    <d v="2025-01-17T00:00:00"/>
    <x v="0"/>
    <x v="0"/>
    <x v="2"/>
    <x v="0"/>
    <x v="21"/>
    <x v="1"/>
    <x v="2"/>
    <x v="0"/>
  </r>
  <r>
    <s v="TX500347"/>
    <x v="15"/>
    <x v="0"/>
    <x v="293"/>
    <n v="20.399999999999999"/>
    <d v="2025-01-15T00:00:00"/>
    <d v="2025-01-17T00:00:00"/>
    <x v="1"/>
    <x v="4"/>
    <x v="1"/>
    <x v="0"/>
    <x v="21"/>
    <x v="1"/>
    <x v="2"/>
    <x v="1"/>
  </r>
  <r>
    <s v="TX500348"/>
    <x v="1"/>
    <x v="0"/>
    <x v="294"/>
    <n v="36.700000000000003"/>
    <d v="2025-01-15T00:00:00"/>
    <d v="2025-01-16T00:00:00"/>
    <x v="1"/>
    <x v="0"/>
    <x v="1"/>
    <x v="0"/>
    <x v="1"/>
    <x v="3"/>
    <x v="2"/>
    <x v="1"/>
  </r>
  <r>
    <s v="TX500349"/>
    <x v="8"/>
    <x v="2"/>
    <x v="295"/>
    <n v="81.599999999999994"/>
    <d v="2025-01-15T00:00:00"/>
    <d v="2025-01-19T00:00:00"/>
    <x v="1"/>
    <x v="0"/>
    <x v="2"/>
    <x v="0"/>
    <x v="1"/>
    <x v="5"/>
    <x v="2"/>
    <x v="1"/>
  </r>
  <r>
    <s v="TX500350"/>
    <x v="6"/>
    <x v="0"/>
    <x v="296"/>
    <n v="58.2"/>
    <d v="2025-01-15T00:00:00"/>
    <d v="2025-01-16T00:00:00"/>
    <x v="2"/>
    <x v="0"/>
    <x v="2"/>
    <x v="0"/>
    <x v="42"/>
    <x v="3"/>
    <x v="2"/>
    <x v="2"/>
  </r>
  <r>
    <s v="TX500351"/>
    <x v="8"/>
    <x v="2"/>
    <x v="170"/>
    <n v="76.800000000000011"/>
    <d v="2025-01-15T00:00:00"/>
    <d v="2025-01-16T00:00:00"/>
    <x v="1"/>
    <x v="4"/>
    <x v="4"/>
    <x v="0"/>
    <x v="2"/>
    <x v="3"/>
    <x v="2"/>
    <x v="1"/>
  </r>
  <r>
    <s v="TX500352"/>
    <x v="10"/>
    <x v="0"/>
    <x v="191"/>
    <n v="21.2"/>
    <d v="2025-01-15T00:00:00"/>
    <d v="2025-01-15T00:00:00"/>
    <x v="2"/>
    <x v="1"/>
    <x v="2"/>
    <x v="0"/>
    <x v="3"/>
    <x v="7"/>
    <x v="2"/>
    <x v="2"/>
  </r>
  <r>
    <s v="TX500353"/>
    <x v="6"/>
    <x v="1"/>
    <x v="297"/>
    <n v="96.4"/>
    <d v="2025-01-15T00:00:00"/>
    <d v="2025-01-23T00:00:00"/>
    <x v="2"/>
    <x v="0"/>
    <x v="2"/>
    <x v="0"/>
    <x v="3"/>
    <x v="9"/>
    <x v="2"/>
    <x v="2"/>
  </r>
  <r>
    <s v="TX500354"/>
    <x v="1"/>
    <x v="12"/>
    <x v="298"/>
    <n v="333.6"/>
    <d v="2025-01-16T00:00:00"/>
    <d v="2025-01-17T00:00:00"/>
    <x v="1"/>
    <x v="0"/>
    <x v="0"/>
    <x v="0"/>
    <x v="3"/>
    <x v="3"/>
    <x v="2"/>
    <x v="1"/>
  </r>
  <r>
    <s v="TX500355"/>
    <x v="9"/>
    <x v="2"/>
    <x v="299"/>
    <n v="135.89999999999998"/>
    <d v="2025-01-16T00:00:00"/>
    <d v="2025-01-22T00:00:00"/>
    <x v="1"/>
    <x v="2"/>
    <x v="1"/>
    <x v="0"/>
    <x v="3"/>
    <x v="4"/>
    <x v="2"/>
    <x v="1"/>
  </r>
  <r>
    <s v="TX500356"/>
    <x v="17"/>
    <x v="0"/>
    <x v="300"/>
    <n v="42"/>
    <d v="2025-01-16T00:00:00"/>
    <d v="2025-01-17T00:00:00"/>
    <x v="0"/>
    <x v="0"/>
    <x v="0"/>
    <x v="0"/>
    <x v="3"/>
    <x v="3"/>
    <x v="2"/>
    <x v="0"/>
  </r>
  <r>
    <s v="TX500357"/>
    <x v="0"/>
    <x v="11"/>
    <x v="301"/>
    <n v="196.20000000000002"/>
    <d v="2025-01-16T00:00:00"/>
    <d v="2025-01-18T00:00:00"/>
    <x v="2"/>
    <x v="1"/>
    <x v="0"/>
    <x v="0"/>
    <x v="3"/>
    <x v="1"/>
    <x v="2"/>
    <x v="2"/>
  </r>
  <r>
    <s v="TX500358"/>
    <x v="8"/>
    <x v="16"/>
    <x v="302"/>
    <n v="385.2"/>
    <d v="2025-01-16T00:00:00"/>
    <d v="2025-01-19T00:00:00"/>
    <x v="2"/>
    <x v="1"/>
    <x v="2"/>
    <x v="0"/>
    <x v="3"/>
    <x v="2"/>
    <x v="2"/>
    <x v="2"/>
  </r>
  <r>
    <s v="TX500359"/>
    <x v="10"/>
    <x v="2"/>
    <x v="303"/>
    <n v="135"/>
    <d v="2025-01-16T00:00:00"/>
    <d v="2025-01-16T00:00:00"/>
    <x v="2"/>
    <x v="1"/>
    <x v="2"/>
    <x v="0"/>
    <x v="3"/>
    <x v="7"/>
    <x v="2"/>
    <x v="2"/>
  </r>
  <r>
    <s v="TX500360"/>
    <x v="14"/>
    <x v="0"/>
    <x v="180"/>
    <n v="39.6"/>
    <d v="2025-01-16T00:00:00"/>
    <d v="2025-01-17T00:00:00"/>
    <x v="1"/>
    <x v="0"/>
    <x v="2"/>
    <x v="0"/>
    <x v="3"/>
    <x v="3"/>
    <x v="2"/>
    <x v="1"/>
  </r>
  <r>
    <s v="TX500361"/>
    <x v="12"/>
    <x v="2"/>
    <x v="304"/>
    <n v="239.39999999999998"/>
    <d v="2025-01-16T00:00:00"/>
    <d v="2025-01-22T00:00:00"/>
    <x v="2"/>
    <x v="1"/>
    <x v="4"/>
    <x v="0"/>
    <x v="3"/>
    <x v="4"/>
    <x v="2"/>
    <x v="2"/>
  </r>
  <r>
    <s v="TX500362"/>
    <x v="1"/>
    <x v="12"/>
    <x v="305"/>
    <n v="254.4"/>
    <d v="2025-01-16T00:00:00"/>
    <d v="2025-01-17T00:00:00"/>
    <x v="3"/>
    <x v="0"/>
    <x v="2"/>
    <x v="0"/>
    <x v="24"/>
    <x v="3"/>
    <x v="2"/>
    <x v="3"/>
  </r>
  <r>
    <s v="TX500363"/>
    <x v="7"/>
    <x v="7"/>
    <x v="306"/>
    <n v="927"/>
    <d v="2025-01-16T00:00:00"/>
    <d v="2025-01-20T00:00:00"/>
    <x v="1"/>
    <x v="1"/>
    <x v="2"/>
    <x v="0"/>
    <x v="6"/>
    <x v="5"/>
    <x v="2"/>
    <x v="1"/>
  </r>
  <r>
    <s v="TX500364"/>
    <x v="1"/>
    <x v="12"/>
    <x v="72"/>
    <n v="193.6"/>
    <d v="2025-01-16T00:00:00"/>
    <d v="2025-01-18T00:00:00"/>
    <x v="2"/>
    <x v="1"/>
    <x v="2"/>
    <x v="0"/>
    <x v="6"/>
    <x v="1"/>
    <x v="2"/>
    <x v="2"/>
  </r>
  <r>
    <s v="TX500365"/>
    <x v="9"/>
    <x v="8"/>
    <x v="307"/>
    <n v="288"/>
    <d v="2025-01-16T00:00:00"/>
    <d v="2025-01-19T00:00:00"/>
    <x v="1"/>
    <x v="2"/>
    <x v="2"/>
    <x v="0"/>
    <x v="8"/>
    <x v="2"/>
    <x v="2"/>
    <x v="1"/>
  </r>
  <r>
    <s v="TX500366"/>
    <x v="8"/>
    <x v="4"/>
    <x v="49"/>
    <n v="324"/>
    <d v="2025-01-16T00:00:00"/>
    <d v="2025-01-18T00:00:00"/>
    <x v="2"/>
    <x v="2"/>
    <x v="1"/>
    <x v="0"/>
    <x v="8"/>
    <x v="1"/>
    <x v="2"/>
    <x v="2"/>
  </r>
  <r>
    <s v="TX500367"/>
    <x v="2"/>
    <x v="8"/>
    <x v="190"/>
    <n v="431.2"/>
    <d v="2025-01-16T00:00:00"/>
    <d v="2025-01-17T00:00:00"/>
    <x v="0"/>
    <x v="0"/>
    <x v="0"/>
    <x v="0"/>
    <x v="8"/>
    <x v="3"/>
    <x v="2"/>
    <x v="0"/>
  </r>
  <r>
    <s v="TX500368"/>
    <x v="3"/>
    <x v="11"/>
    <x v="72"/>
    <n v="435.59999999999997"/>
    <d v="2025-01-16T00:00:00"/>
    <d v="2025-01-17T00:00:00"/>
    <x v="2"/>
    <x v="1"/>
    <x v="0"/>
    <x v="0"/>
    <x v="9"/>
    <x v="3"/>
    <x v="2"/>
    <x v="2"/>
  </r>
  <r>
    <s v="TX500369"/>
    <x v="17"/>
    <x v="1"/>
    <x v="308"/>
    <n v="99.8"/>
    <d v="2025-01-16T00:00:00"/>
    <d v="2025-01-21T00:00:00"/>
    <x v="1"/>
    <x v="4"/>
    <x v="4"/>
    <x v="0"/>
    <x v="10"/>
    <x v="0"/>
    <x v="2"/>
    <x v="1"/>
  </r>
  <r>
    <s v="TX500370"/>
    <x v="1"/>
    <x v="2"/>
    <x v="309"/>
    <n v="155.10000000000002"/>
    <d v="2025-01-16T00:00:00"/>
    <d v="2025-01-17T00:00:00"/>
    <x v="2"/>
    <x v="0"/>
    <x v="2"/>
    <x v="0"/>
    <x v="11"/>
    <x v="3"/>
    <x v="2"/>
    <x v="2"/>
  </r>
  <r>
    <s v="TX500371"/>
    <x v="8"/>
    <x v="2"/>
    <x v="80"/>
    <n v="125.39999999999999"/>
    <d v="2025-01-16T00:00:00"/>
    <d v="2025-01-18T00:00:00"/>
    <x v="2"/>
    <x v="2"/>
    <x v="0"/>
    <x v="0"/>
    <x v="18"/>
    <x v="1"/>
    <x v="2"/>
    <x v="2"/>
  </r>
  <r>
    <s v="TX500372"/>
    <x v="4"/>
    <x v="12"/>
    <x v="310"/>
    <n v="144.80000000000001"/>
    <d v="2025-01-17T00:00:00"/>
    <d v="2025-01-18T00:00:00"/>
    <x v="1"/>
    <x v="2"/>
    <x v="2"/>
    <x v="0"/>
    <x v="21"/>
    <x v="3"/>
    <x v="2"/>
    <x v="1"/>
  </r>
  <r>
    <s v="TX500373"/>
    <x v="2"/>
    <x v="0"/>
    <x v="311"/>
    <n v="150.9"/>
    <d v="2025-01-17T00:00:00"/>
    <d v="2025-01-27T00:00:00"/>
    <x v="1"/>
    <x v="0"/>
    <x v="0"/>
    <x v="0"/>
    <x v="1"/>
    <x v="14"/>
    <x v="2"/>
    <x v="1"/>
  </r>
  <r>
    <s v="TX500374"/>
    <x v="18"/>
    <x v="12"/>
    <x v="312"/>
    <n v="310.39999999999998"/>
    <d v="2025-01-17T00:00:00"/>
    <d v="2025-01-18T00:00:00"/>
    <x v="0"/>
    <x v="2"/>
    <x v="0"/>
    <x v="0"/>
    <x v="3"/>
    <x v="3"/>
    <x v="2"/>
    <x v="0"/>
  </r>
  <r>
    <s v="TX500375"/>
    <x v="13"/>
    <x v="9"/>
    <x v="313"/>
    <n v="327.5"/>
    <d v="2025-01-17T00:00:00"/>
    <d v="2025-01-17T00:00:00"/>
    <x v="1"/>
    <x v="1"/>
    <x v="0"/>
    <x v="0"/>
    <x v="3"/>
    <x v="7"/>
    <x v="2"/>
    <x v="1"/>
  </r>
  <r>
    <s v="TX500376"/>
    <x v="6"/>
    <x v="2"/>
    <x v="314"/>
    <n v="270.29999999999995"/>
    <d v="2025-01-17T00:00:00"/>
    <d v="2025-01-19T00:00:00"/>
    <x v="2"/>
    <x v="0"/>
    <x v="0"/>
    <x v="0"/>
    <x v="3"/>
    <x v="1"/>
    <x v="2"/>
    <x v="2"/>
  </r>
  <r>
    <s v="TX500377"/>
    <x v="1"/>
    <x v="1"/>
    <x v="315"/>
    <n v="216.6"/>
    <d v="2025-01-17T00:00:00"/>
    <d v="2025-01-20T00:00:00"/>
    <x v="3"/>
    <x v="4"/>
    <x v="0"/>
    <x v="0"/>
    <x v="3"/>
    <x v="2"/>
    <x v="2"/>
    <x v="3"/>
  </r>
  <r>
    <s v="TX500378"/>
    <x v="5"/>
    <x v="2"/>
    <x v="316"/>
    <n v="179.7"/>
    <d v="2025-01-17T00:00:00"/>
    <d v="2025-01-21T00:00:00"/>
    <x v="2"/>
    <x v="0"/>
    <x v="0"/>
    <x v="0"/>
    <x v="3"/>
    <x v="5"/>
    <x v="2"/>
    <x v="2"/>
  </r>
  <r>
    <s v="TX500379"/>
    <x v="2"/>
    <x v="14"/>
    <x v="40"/>
    <n v="2363"/>
    <d v="2025-01-17T00:00:00"/>
    <d v="2025-01-19T00:00:00"/>
    <x v="2"/>
    <x v="1"/>
    <x v="4"/>
    <x v="0"/>
    <x v="3"/>
    <x v="1"/>
    <x v="2"/>
    <x v="2"/>
  </r>
  <r>
    <s v="TX500380"/>
    <x v="6"/>
    <x v="2"/>
    <x v="317"/>
    <n v="261.89999999999998"/>
    <d v="2025-01-17T00:00:00"/>
    <d v="2025-01-18T00:00:00"/>
    <x v="2"/>
    <x v="0"/>
    <x v="0"/>
    <x v="0"/>
    <x v="3"/>
    <x v="3"/>
    <x v="2"/>
    <x v="2"/>
  </r>
  <r>
    <s v="TX500381"/>
    <x v="11"/>
    <x v="12"/>
    <x v="318"/>
    <n v="169.2"/>
    <d v="2025-01-17T00:00:00"/>
    <d v="2025-01-17T00:00:00"/>
    <x v="1"/>
    <x v="0"/>
    <x v="0"/>
    <x v="0"/>
    <x v="3"/>
    <x v="7"/>
    <x v="2"/>
    <x v="1"/>
  </r>
  <r>
    <s v="TX500382"/>
    <x v="14"/>
    <x v="8"/>
    <x v="319"/>
    <n v="828.8"/>
    <d v="2025-01-17T00:00:00"/>
    <d v="2025-01-18T00:00:00"/>
    <x v="3"/>
    <x v="0"/>
    <x v="1"/>
    <x v="0"/>
    <x v="3"/>
    <x v="3"/>
    <x v="2"/>
    <x v="3"/>
  </r>
  <r>
    <s v="TX500383"/>
    <x v="6"/>
    <x v="1"/>
    <x v="238"/>
    <n v="181.8"/>
    <d v="2025-01-17T00:00:00"/>
    <d v="2025-01-18T00:00:00"/>
    <x v="1"/>
    <x v="1"/>
    <x v="0"/>
    <x v="0"/>
    <x v="6"/>
    <x v="3"/>
    <x v="2"/>
    <x v="1"/>
  </r>
  <r>
    <s v="TX500384"/>
    <x v="9"/>
    <x v="27"/>
    <x v="320"/>
    <n v="1614.4"/>
    <d v="2025-01-17T00:00:00"/>
    <d v="2025-01-18T00:00:00"/>
    <x v="2"/>
    <x v="1"/>
    <x v="0"/>
    <x v="0"/>
    <x v="6"/>
    <x v="3"/>
    <x v="2"/>
    <x v="2"/>
  </r>
  <r>
    <s v="TX500385"/>
    <x v="4"/>
    <x v="9"/>
    <x v="307"/>
    <n v="180"/>
    <d v="2025-01-17T00:00:00"/>
    <d v="2025-01-19T00:00:00"/>
    <x v="2"/>
    <x v="1"/>
    <x v="0"/>
    <x v="0"/>
    <x v="7"/>
    <x v="1"/>
    <x v="2"/>
    <x v="2"/>
  </r>
  <r>
    <s v="TX500386"/>
    <x v="6"/>
    <x v="13"/>
    <x v="321"/>
    <n v="499.79999999999995"/>
    <d v="2025-01-17T00:00:00"/>
    <d v="2025-01-20T00:00:00"/>
    <x v="0"/>
    <x v="2"/>
    <x v="0"/>
    <x v="0"/>
    <x v="7"/>
    <x v="2"/>
    <x v="2"/>
    <x v="0"/>
  </r>
  <r>
    <s v="TX500387"/>
    <x v="2"/>
    <x v="14"/>
    <x v="322"/>
    <n v="1025.0999999999999"/>
    <d v="2025-01-17T00:00:00"/>
    <d v="2025-01-18T00:00:00"/>
    <x v="1"/>
    <x v="2"/>
    <x v="1"/>
    <x v="0"/>
    <x v="7"/>
    <x v="3"/>
    <x v="2"/>
    <x v="1"/>
  </r>
  <r>
    <s v="TX500388"/>
    <x v="2"/>
    <x v="13"/>
    <x v="323"/>
    <n v="721.8"/>
    <d v="2025-01-17T00:00:00"/>
    <d v="2025-01-18T00:00:00"/>
    <x v="1"/>
    <x v="2"/>
    <x v="0"/>
    <x v="0"/>
    <x v="8"/>
    <x v="3"/>
    <x v="2"/>
    <x v="1"/>
  </r>
  <r>
    <s v="TX500389"/>
    <x v="4"/>
    <x v="7"/>
    <x v="324"/>
    <n v="340"/>
    <d v="2025-01-17T00:00:00"/>
    <d v="2025-01-21T00:00:00"/>
    <x v="2"/>
    <x v="2"/>
    <x v="0"/>
    <x v="0"/>
    <x v="8"/>
    <x v="5"/>
    <x v="2"/>
    <x v="2"/>
  </r>
  <r>
    <s v="TX500390"/>
    <x v="10"/>
    <x v="9"/>
    <x v="325"/>
    <n v="213"/>
    <d v="2025-01-17T00:00:00"/>
    <d v="2025-01-20T00:00:00"/>
    <x v="1"/>
    <x v="1"/>
    <x v="0"/>
    <x v="0"/>
    <x v="8"/>
    <x v="2"/>
    <x v="2"/>
    <x v="1"/>
  </r>
  <r>
    <s v="TX500391"/>
    <x v="5"/>
    <x v="28"/>
    <x v="68"/>
    <n v="948"/>
    <d v="2025-01-17T00:00:00"/>
    <d v="2025-01-17T00:00:00"/>
    <x v="2"/>
    <x v="2"/>
    <x v="1"/>
    <x v="0"/>
    <x v="17"/>
    <x v="7"/>
    <x v="2"/>
    <x v="2"/>
  </r>
  <r>
    <s v="TX500392"/>
    <x v="2"/>
    <x v="0"/>
    <x v="326"/>
    <n v="74"/>
    <d v="2025-01-18T00:00:00"/>
    <d v="2025-01-19T00:00:00"/>
    <x v="1"/>
    <x v="1"/>
    <x v="0"/>
    <x v="0"/>
    <x v="11"/>
    <x v="3"/>
    <x v="2"/>
    <x v="1"/>
  </r>
  <r>
    <s v="TX500393"/>
    <x v="2"/>
    <x v="9"/>
    <x v="247"/>
    <n v="302"/>
    <d v="2025-01-18T00:00:00"/>
    <d v="2025-01-21T00:00:00"/>
    <x v="2"/>
    <x v="1"/>
    <x v="4"/>
    <x v="0"/>
    <x v="18"/>
    <x v="2"/>
    <x v="2"/>
    <x v="2"/>
  </r>
  <r>
    <s v="TX500394"/>
    <x v="12"/>
    <x v="1"/>
    <x v="327"/>
    <n v="138.6"/>
    <d v="2025-01-18T00:00:00"/>
    <d v="2025-01-21T00:00:00"/>
    <x v="1"/>
    <x v="1"/>
    <x v="1"/>
    <x v="0"/>
    <x v="13"/>
    <x v="2"/>
    <x v="2"/>
    <x v="1"/>
  </r>
  <r>
    <s v="TX500395"/>
    <x v="5"/>
    <x v="9"/>
    <x v="328"/>
    <n v="405"/>
    <d v="2025-01-18T00:00:00"/>
    <d v="2025-01-24T00:00:00"/>
    <x v="1"/>
    <x v="3"/>
    <x v="0"/>
    <x v="0"/>
    <x v="21"/>
    <x v="4"/>
    <x v="2"/>
    <x v="1"/>
  </r>
  <r>
    <s v="TX500396"/>
    <x v="15"/>
    <x v="2"/>
    <x v="329"/>
    <n v="124.5"/>
    <d v="2025-01-18T00:00:00"/>
    <d v="2025-01-20T00:00:00"/>
    <x v="3"/>
    <x v="1"/>
    <x v="0"/>
    <x v="0"/>
    <x v="21"/>
    <x v="1"/>
    <x v="2"/>
    <x v="3"/>
  </r>
  <r>
    <s v="TX500397"/>
    <x v="18"/>
    <x v="1"/>
    <x v="330"/>
    <n v="139.4"/>
    <d v="2025-01-18T00:00:00"/>
    <d v="2025-01-23T00:00:00"/>
    <x v="1"/>
    <x v="1"/>
    <x v="0"/>
    <x v="0"/>
    <x v="21"/>
    <x v="0"/>
    <x v="2"/>
    <x v="1"/>
  </r>
  <r>
    <s v="TX500398"/>
    <x v="2"/>
    <x v="9"/>
    <x v="331"/>
    <n v="418"/>
    <d v="2025-01-18T00:00:00"/>
    <d v="2025-01-18T00:00:00"/>
    <x v="2"/>
    <x v="4"/>
    <x v="0"/>
    <x v="0"/>
    <x v="1"/>
    <x v="7"/>
    <x v="2"/>
    <x v="2"/>
  </r>
  <r>
    <s v="TX500399"/>
    <x v="8"/>
    <x v="3"/>
    <x v="332"/>
    <n v="150.5"/>
    <d v="2025-01-18T00:00:00"/>
    <d v="2025-01-20T00:00:00"/>
    <x v="1"/>
    <x v="1"/>
    <x v="4"/>
    <x v="0"/>
    <x v="34"/>
    <x v="1"/>
    <x v="2"/>
    <x v="1"/>
  </r>
  <r>
    <s v="TX500400"/>
    <x v="8"/>
    <x v="8"/>
    <x v="85"/>
    <n v="228.8"/>
    <d v="2025-01-18T00:00:00"/>
    <d v="2025-01-19T00:00:00"/>
    <x v="1"/>
    <x v="0"/>
    <x v="0"/>
    <x v="0"/>
    <x v="3"/>
    <x v="3"/>
    <x v="2"/>
    <x v="1"/>
  </r>
  <r>
    <s v="TX500401"/>
    <x v="8"/>
    <x v="13"/>
    <x v="333"/>
    <n v="112.80000000000001"/>
    <d v="2025-01-18T00:00:00"/>
    <d v="2025-01-21T00:00:00"/>
    <x v="1"/>
    <x v="3"/>
    <x v="2"/>
    <x v="0"/>
    <x v="3"/>
    <x v="2"/>
    <x v="2"/>
    <x v="1"/>
  </r>
  <r>
    <s v="TX500402"/>
    <x v="10"/>
    <x v="12"/>
    <x v="334"/>
    <n v="140.4"/>
    <d v="2025-01-18T00:00:00"/>
    <d v="2025-01-18T00:00:00"/>
    <x v="2"/>
    <x v="1"/>
    <x v="1"/>
    <x v="0"/>
    <x v="3"/>
    <x v="7"/>
    <x v="2"/>
    <x v="2"/>
  </r>
  <r>
    <s v="TX500403"/>
    <x v="0"/>
    <x v="1"/>
    <x v="335"/>
    <n v="25.4"/>
    <d v="2025-01-18T00:00:00"/>
    <d v="2025-01-20T00:00:00"/>
    <x v="2"/>
    <x v="1"/>
    <x v="2"/>
    <x v="0"/>
    <x v="3"/>
    <x v="1"/>
    <x v="2"/>
    <x v="2"/>
  </r>
  <r>
    <s v="TX500404"/>
    <x v="8"/>
    <x v="9"/>
    <x v="336"/>
    <n v="137"/>
    <d v="2025-01-18T00:00:00"/>
    <d v="2025-01-20T00:00:00"/>
    <x v="3"/>
    <x v="0"/>
    <x v="0"/>
    <x v="0"/>
    <x v="3"/>
    <x v="1"/>
    <x v="2"/>
    <x v="3"/>
  </r>
  <r>
    <s v="TX500405"/>
    <x v="10"/>
    <x v="1"/>
    <x v="148"/>
    <n v="122.6"/>
    <d v="2025-01-18T00:00:00"/>
    <d v="2025-01-19T00:00:00"/>
    <x v="2"/>
    <x v="1"/>
    <x v="0"/>
    <x v="0"/>
    <x v="6"/>
    <x v="3"/>
    <x v="2"/>
    <x v="2"/>
  </r>
  <r>
    <s v="TX500406"/>
    <x v="8"/>
    <x v="1"/>
    <x v="337"/>
    <n v="129.4"/>
    <d v="2025-01-18T00:00:00"/>
    <d v="2025-01-20T00:00:00"/>
    <x v="2"/>
    <x v="3"/>
    <x v="2"/>
    <x v="0"/>
    <x v="6"/>
    <x v="1"/>
    <x v="2"/>
    <x v="2"/>
  </r>
  <r>
    <s v="TX500407"/>
    <x v="7"/>
    <x v="12"/>
    <x v="338"/>
    <n v="365.6"/>
    <d v="2025-01-18T00:00:00"/>
    <d v="2025-01-20T00:00:00"/>
    <x v="2"/>
    <x v="0"/>
    <x v="0"/>
    <x v="0"/>
    <x v="8"/>
    <x v="1"/>
    <x v="2"/>
    <x v="2"/>
  </r>
  <r>
    <s v="TX500408"/>
    <x v="0"/>
    <x v="1"/>
    <x v="199"/>
    <n v="66.2"/>
    <d v="2025-01-19T00:00:00"/>
    <d v="2025-01-20T00:00:00"/>
    <x v="1"/>
    <x v="0"/>
    <x v="2"/>
    <x v="0"/>
    <x v="8"/>
    <x v="3"/>
    <x v="3"/>
    <x v="1"/>
  </r>
  <r>
    <s v="TX500409"/>
    <x v="3"/>
    <x v="1"/>
    <x v="339"/>
    <n v="211.2"/>
    <d v="2025-01-19T00:00:00"/>
    <d v="2025-01-20T00:00:00"/>
    <x v="1"/>
    <x v="2"/>
    <x v="1"/>
    <x v="0"/>
    <x v="8"/>
    <x v="3"/>
    <x v="3"/>
    <x v="1"/>
  </r>
  <r>
    <s v="TX500410"/>
    <x v="10"/>
    <x v="2"/>
    <x v="340"/>
    <n v="139.19999999999999"/>
    <d v="2025-01-19T00:00:00"/>
    <d v="2025-01-20T00:00:00"/>
    <x v="1"/>
    <x v="2"/>
    <x v="0"/>
    <x v="0"/>
    <x v="9"/>
    <x v="3"/>
    <x v="3"/>
    <x v="1"/>
  </r>
  <r>
    <s v="TX500411"/>
    <x v="9"/>
    <x v="21"/>
    <x v="341"/>
    <n v="494.19999999999993"/>
    <d v="2025-01-19T00:00:00"/>
    <d v="2025-01-22T00:00:00"/>
    <x v="2"/>
    <x v="4"/>
    <x v="1"/>
    <x v="0"/>
    <x v="11"/>
    <x v="2"/>
    <x v="3"/>
    <x v="2"/>
  </r>
  <r>
    <s v="TX500412"/>
    <x v="0"/>
    <x v="1"/>
    <x v="342"/>
    <n v="32.200000000000003"/>
    <d v="2025-01-19T00:00:00"/>
    <d v="2025-01-21T00:00:00"/>
    <x v="1"/>
    <x v="3"/>
    <x v="2"/>
    <x v="0"/>
    <x v="32"/>
    <x v="1"/>
    <x v="3"/>
    <x v="1"/>
  </r>
  <r>
    <s v="TX500413"/>
    <x v="4"/>
    <x v="1"/>
    <x v="343"/>
    <n v="55.8"/>
    <d v="2025-01-19T00:00:00"/>
    <d v="2025-01-22T00:00:00"/>
    <x v="1"/>
    <x v="0"/>
    <x v="0"/>
    <x v="0"/>
    <x v="13"/>
    <x v="2"/>
    <x v="3"/>
    <x v="1"/>
  </r>
  <r>
    <s v="TX500414"/>
    <x v="8"/>
    <x v="0"/>
    <x v="344"/>
    <n v="47.1"/>
    <d v="2025-01-19T00:00:00"/>
    <d v="2025-01-27T00:00:00"/>
    <x v="2"/>
    <x v="1"/>
    <x v="0"/>
    <x v="0"/>
    <x v="2"/>
    <x v="9"/>
    <x v="3"/>
    <x v="2"/>
  </r>
  <r>
    <s v="TX500415"/>
    <x v="6"/>
    <x v="1"/>
    <x v="345"/>
    <n v="170"/>
    <d v="2025-01-19T00:00:00"/>
    <d v="2025-01-22T00:00:00"/>
    <x v="0"/>
    <x v="2"/>
    <x v="2"/>
    <x v="0"/>
    <x v="22"/>
    <x v="2"/>
    <x v="3"/>
    <x v="0"/>
  </r>
  <r>
    <s v="TX500416"/>
    <x v="18"/>
    <x v="1"/>
    <x v="346"/>
    <n v="178"/>
    <d v="2025-01-19T00:00:00"/>
    <d v="2025-01-21T00:00:00"/>
    <x v="2"/>
    <x v="0"/>
    <x v="0"/>
    <x v="0"/>
    <x v="3"/>
    <x v="1"/>
    <x v="3"/>
    <x v="2"/>
  </r>
  <r>
    <s v="TX500417"/>
    <x v="16"/>
    <x v="2"/>
    <x v="17"/>
    <n v="109.80000000000001"/>
    <d v="2025-01-19T00:00:00"/>
    <d v="2025-01-20T00:00:00"/>
    <x v="3"/>
    <x v="3"/>
    <x v="2"/>
    <x v="0"/>
    <x v="3"/>
    <x v="3"/>
    <x v="3"/>
    <x v="3"/>
  </r>
  <r>
    <s v="TX500418"/>
    <x v="6"/>
    <x v="3"/>
    <x v="347"/>
    <n v="304.5"/>
    <d v="2025-01-19T00:00:00"/>
    <d v="2025-01-20T00:00:00"/>
    <x v="1"/>
    <x v="1"/>
    <x v="2"/>
    <x v="0"/>
    <x v="3"/>
    <x v="3"/>
    <x v="3"/>
    <x v="1"/>
  </r>
  <r>
    <s v="TX500419"/>
    <x v="9"/>
    <x v="10"/>
    <x v="162"/>
    <n v="579.5"/>
    <d v="2025-01-19T00:00:00"/>
    <d v="2025-01-19T00:00:00"/>
    <x v="2"/>
    <x v="3"/>
    <x v="0"/>
    <x v="0"/>
    <x v="3"/>
    <x v="7"/>
    <x v="3"/>
    <x v="2"/>
  </r>
  <r>
    <s v="TX500420"/>
    <x v="1"/>
    <x v="1"/>
    <x v="348"/>
    <n v="215.4"/>
    <d v="2025-01-19T00:00:00"/>
    <d v="2025-01-23T00:00:00"/>
    <x v="1"/>
    <x v="3"/>
    <x v="4"/>
    <x v="0"/>
    <x v="3"/>
    <x v="5"/>
    <x v="3"/>
    <x v="1"/>
  </r>
  <r>
    <s v="TX500421"/>
    <x v="17"/>
    <x v="18"/>
    <x v="140"/>
    <n v="1484.6000000000001"/>
    <d v="2025-01-19T00:00:00"/>
    <d v="2025-01-20T00:00:00"/>
    <x v="1"/>
    <x v="1"/>
    <x v="0"/>
    <x v="0"/>
    <x v="3"/>
    <x v="3"/>
    <x v="3"/>
    <x v="1"/>
  </r>
  <r>
    <s v="TX500422"/>
    <x v="2"/>
    <x v="7"/>
    <x v="349"/>
    <n v="1117"/>
    <d v="2025-01-19T00:00:00"/>
    <d v="2025-01-20T00:00:00"/>
    <x v="2"/>
    <x v="4"/>
    <x v="2"/>
    <x v="0"/>
    <x v="3"/>
    <x v="3"/>
    <x v="3"/>
    <x v="2"/>
  </r>
  <r>
    <s v="TX500423"/>
    <x v="18"/>
    <x v="3"/>
    <x v="112"/>
    <n v="310.09999999999997"/>
    <d v="2025-01-19T00:00:00"/>
    <d v="2025-01-22T00:00:00"/>
    <x v="1"/>
    <x v="3"/>
    <x v="2"/>
    <x v="0"/>
    <x v="3"/>
    <x v="2"/>
    <x v="3"/>
    <x v="1"/>
  </r>
  <r>
    <s v="TX500424"/>
    <x v="2"/>
    <x v="8"/>
    <x v="350"/>
    <n v="766.4"/>
    <d v="2025-01-19T00:00:00"/>
    <d v="2025-01-25T00:00:00"/>
    <x v="3"/>
    <x v="0"/>
    <x v="0"/>
    <x v="0"/>
    <x v="3"/>
    <x v="4"/>
    <x v="3"/>
    <x v="3"/>
  </r>
  <r>
    <s v="TX500425"/>
    <x v="10"/>
    <x v="3"/>
    <x v="351"/>
    <n v="158.20000000000002"/>
    <d v="2025-01-19T00:00:00"/>
    <d v="2025-01-22T00:00:00"/>
    <x v="2"/>
    <x v="3"/>
    <x v="1"/>
    <x v="0"/>
    <x v="3"/>
    <x v="2"/>
    <x v="3"/>
    <x v="2"/>
  </r>
  <r>
    <s v="TX500426"/>
    <x v="8"/>
    <x v="8"/>
    <x v="170"/>
    <n v="204.8"/>
    <d v="2025-01-19T00:00:00"/>
    <d v="2025-01-21T00:00:00"/>
    <x v="2"/>
    <x v="4"/>
    <x v="0"/>
    <x v="0"/>
    <x v="3"/>
    <x v="1"/>
    <x v="3"/>
    <x v="2"/>
  </r>
  <r>
    <s v="TX500427"/>
    <x v="6"/>
    <x v="27"/>
    <x v="352"/>
    <n v="868.8"/>
    <d v="2025-01-19T00:00:00"/>
    <d v="2025-01-22T00:00:00"/>
    <x v="2"/>
    <x v="4"/>
    <x v="0"/>
    <x v="0"/>
    <x v="3"/>
    <x v="2"/>
    <x v="3"/>
    <x v="2"/>
  </r>
  <r>
    <s v="TX500428"/>
    <x v="18"/>
    <x v="15"/>
    <x v="353"/>
    <n v="666.9"/>
    <d v="2025-01-19T00:00:00"/>
    <d v="2025-01-21T00:00:00"/>
    <x v="1"/>
    <x v="0"/>
    <x v="2"/>
    <x v="0"/>
    <x v="3"/>
    <x v="1"/>
    <x v="3"/>
    <x v="1"/>
  </r>
  <r>
    <s v="TX500429"/>
    <x v="0"/>
    <x v="8"/>
    <x v="170"/>
    <n v="204.8"/>
    <d v="2025-01-19T00:00:00"/>
    <d v="2025-01-20T00:00:00"/>
    <x v="2"/>
    <x v="1"/>
    <x v="1"/>
    <x v="0"/>
    <x v="3"/>
    <x v="3"/>
    <x v="3"/>
    <x v="2"/>
  </r>
  <r>
    <s v="TX500430"/>
    <x v="0"/>
    <x v="1"/>
    <x v="255"/>
    <n v="31.2"/>
    <d v="2025-01-19T00:00:00"/>
    <d v="2025-01-20T00:00:00"/>
    <x v="2"/>
    <x v="2"/>
    <x v="2"/>
    <x v="0"/>
    <x v="3"/>
    <x v="3"/>
    <x v="3"/>
    <x v="2"/>
  </r>
  <r>
    <s v="TX500431"/>
    <x v="8"/>
    <x v="2"/>
    <x v="165"/>
    <n v="90.9"/>
    <d v="2025-01-19T00:00:00"/>
    <d v="2025-01-23T00:00:00"/>
    <x v="2"/>
    <x v="0"/>
    <x v="1"/>
    <x v="0"/>
    <x v="3"/>
    <x v="5"/>
    <x v="3"/>
    <x v="2"/>
  </r>
  <r>
    <s v="TX500432"/>
    <x v="12"/>
    <x v="1"/>
    <x v="165"/>
    <n v="60.6"/>
    <d v="2025-01-19T00:00:00"/>
    <d v="2025-01-24T00:00:00"/>
    <x v="2"/>
    <x v="0"/>
    <x v="2"/>
    <x v="0"/>
    <x v="37"/>
    <x v="0"/>
    <x v="3"/>
    <x v="2"/>
  </r>
  <r>
    <s v="TX500433"/>
    <x v="10"/>
    <x v="2"/>
    <x v="98"/>
    <n v="159"/>
    <d v="2025-01-19T00:00:00"/>
    <d v="2025-01-26T00:00:00"/>
    <x v="2"/>
    <x v="2"/>
    <x v="0"/>
    <x v="0"/>
    <x v="24"/>
    <x v="6"/>
    <x v="3"/>
    <x v="2"/>
  </r>
  <r>
    <s v="TX500434"/>
    <x v="5"/>
    <x v="16"/>
    <x v="316"/>
    <n v="1078.2"/>
    <d v="2025-01-19T00:00:00"/>
    <d v="2025-01-22T00:00:00"/>
    <x v="1"/>
    <x v="2"/>
    <x v="4"/>
    <x v="0"/>
    <x v="25"/>
    <x v="2"/>
    <x v="3"/>
    <x v="1"/>
  </r>
  <r>
    <s v="TX500435"/>
    <x v="9"/>
    <x v="1"/>
    <x v="108"/>
    <n v="91.4"/>
    <d v="2025-01-19T00:00:00"/>
    <d v="2025-01-20T00:00:00"/>
    <x v="2"/>
    <x v="1"/>
    <x v="2"/>
    <x v="0"/>
    <x v="6"/>
    <x v="3"/>
    <x v="3"/>
    <x v="2"/>
  </r>
  <r>
    <s v="TX500436"/>
    <x v="8"/>
    <x v="12"/>
    <x v="354"/>
    <n v="184.4"/>
    <d v="2025-01-19T00:00:00"/>
    <d v="2025-01-20T00:00:00"/>
    <x v="1"/>
    <x v="0"/>
    <x v="0"/>
    <x v="0"/>
    <x v="6"/>
    <x v="3"/>
    <x v="3"/>
    <x v="1"/>
  </r>
  <r>
    <s v="TX500437"/>
    <x v="8"/>
    <x v="2"/>
    <x v="25"/>
    <n v="52.5"/>
    <d v="2025-01-19T00:00:00"/>
    <d v="2025-01-20T00:00:00"/>
    <x v="2"/>
    <x v="0"/>
    <x v="2"/>
    <x v="0"/>
    <x v="8"/>
    <x v="3"/>
    <x v="3"/>
    <x v="2"/>
  </r>
  <r>
    <s v="TX500438"/>
    <x v="10"/>
    <x v="2"/>
    <x v="355"/>
    <n v="109.5"/>
    <d v="2025-01-19T00:00:00"/>
    <d v="2025-01-30T00:00:00"/>
    <x v="1"/>
    <x v="2"/>
    <x v="0"/>
    <x v="0"/>
    <x v="8"/>
    <x v="11"/>
    <x v="3"/>
    <x v="1"/>
  </r>
  <r>
    <s v="TX500439"/>
    <x v="8"/>
    <x v="1"/>
    <x v="356"/>
    <n v="95"/>
    <d v="2025-01-20T00:00:00"/>
    <d v="2025-01-22T00:00:00"/>
    <x v="2"/>
    <x v="1"/>
    <x v="0"/>
    <x v="0"/>
    <x v="8"/>
    <x v="1"/>
    <x v="3"/>
    <x v="2"/>
  </r>
  <r>
    <s v="TX500440"/>
    <x v="6"/>
    <x v="9"/>
    <x v="357"/>
    <n v="228"/>
    <d v="2025-01-20T00:00:00"/>
    <d v="2025-01-22T00:00:00"/>
    <x v="2"/>
    <x v="0"/>
    <x v="2"/>
    <x v="0"/>
    <x v="8"/>
    <x v="1"/>
    <x v="3"/>
    <x v="2"/>
  </r>
  <r>
    <s v="TX500441"/>
    <x v="9"/>
    <x v="1"/>
    <x v="93"/>
    <n v="101"/>
    <d v="2025-01-20T00:00:00"/>
    <d v="2025-01-22T00:00:00"/>
    <x v="1"/>
    <x v="0"/>
    <x v="1"/>
    <x v="0"/>
    <x v="17"/>
    <x v="1"/>
    <x v="3"/>
    <x v="1"/>
  </r>
  <r>
    <s v="TX500442"/>
    <x v="2"/>
    <x v="7"/>
    <x v="358"/>
    <n v="998"/>
    <d v="2025-01-20T00:00:00"/>
    <d v="2025-01-23T00:00:00"/>
    <x v="2"/>
    <x v="2"/>
    <x v="1"/>
    <x v="0"/>
    <x v="17"/>
    <x v="2"/>
    <x v="3"/>
    <x v="2"/>
  </r>
  <r>
    <s v="TX500443"/>
    <x v="8"/>
    <x v="20"/>
    <x v="359"/>
    <n v="288"/>
    <d v="2025-01-20T00:00:00"/>
    <d v="2025-01-22T00:00:00"/>
    <x v="3"/>
    <x v="4"/>
    <x v="1"/>
    <x v="0"/>
    <x v="26"/>
    <x v="1"/>
    <x v="3"/>
    <x v="3"/>
  </r>
  <r>
    <s v="TX500444"/>
    <x v="17"/>
    <x v="2"/>
    <x v="351"/>
    <n v="67.800000000000011"/>
    <d v="2025-01-20T00:00:00"/>
    <d v="2025-01-21T00:00:00"/>
    <x v="1"/>
    <x v="1"/>
    <x v="0"/>
    <x v="0"/>
    <x v="11"/>
    <x v="3"/>
    <x v="3"/>
    <x v="1"/>
  </r>
  <r>
    <s v="TX500445"/>
    <x v="1"/>
    <x v="20"/>
    <x v="360"/>
    <n v="1903.5"/>
    <d v="2025-01-20T00:00:00"/>
    <d v="2025-01-22T00:00:00"/>
    <x v="2"/>
    <x v="0"/>
    <x v="2"/>
    <x v="0"/>
    <x v="11"/>
    <x v="1"/>
    <x v="3"/>
    <x v="2"/>
  </r>
  <r>
    <s v="TX500446"/>
    <x v="2"/>
    <x v="1"/>
    <x v="361"/>
    <n v="200.6"/>
    <d v="2025-01-20T00:00:00"/>
    <d v="2025-01-21T00:00:00"/>
    <x v="2"/>
    <x v="0"/>
    <x v="1"/>
    <x v="0"/>
    <x v="11"/>
    <x v="3"/>
    <x v="3"/>
    <x v="2"/>
  </r>
  <r>
    <s v="TX500447"/>
    <x v="4"/>
    <x v="16"/>
    <x v="362"/>
    <n v="442.8"/>
    <d v="2025-01-20T00:00:00"/>
    <d v="2025-01-21T00:00:00"/>
    <x v="2"/>
    <x v="4"/>
    <x v="0"/>
    <x v="0"/>
    <x v="13"/>
    <x v="3"/>
    <x v="3"/>
    <x v="2"/>
  </r>
  <r>
    <s v="TX500448"/>
    <x v="6"/>
    <x v="1"/>
    <x v="219"/>
    <n v="94.6"/>
    <d v="2025-01-20T00:00:00"/>
    <d v="2025-01-21T00:00:00"/>
    <x v="1"/>
    <x v="1"/>
    <x v="2"/>
    <x v="0"/>
    <x v="13"/>
    <x v="3"/>
    <x v="3"/>
    <x v="1"/>
  </r>
  <r>
    <s v="TX500449"/>
    <x v="6"/>
    <x v="3"/>
    <x v="363"/>
    <n v="285.59999999999997"/>
    <d v="2025-01-20T00:00:00"/>
    <d v="2025-01-23T00:00:00"/>
    <x v="2"/>
    <x v="2"/>
    <x v="2"/>
    <x v="0"/>
    <x v="21"/>
    <x v="2"/>
    <x v="3"/>
    <x v="2"/>
  </r>
  <r>
    <s v="TX500450"/>
    <x v="8"/>
    <x v="8"/>
    <x v="364"/>
    <n v="393.6"/>
    <d v="2025-01-20T00:00:00"/>
    <d v="2025-01-22T00:00:00"/>
    <x v="2"/>
    <x v="0"/>
    <x v="0"/>
    <x v="0"/>
    <x v="1"/>
    <x v="1"/>
    <x v="3"/>
    <x v="2"/>
  </r>
  <r>
    <s v="TX500451"/>
    <x v="8"/>
    <x v="0"/>
    <x v="365"/>
    <n v="28.5"/>
    <d v="2025-01-20T00:00:00"/>
    <d v="2025-01-22T00:00:00"/>
    <x v="0"/>
    <x v="2"/>
    <x v="1"/>
    <x v="0"/>
    <x v="3"/>
    <x v="1"/>
    <x v="3"/>
    <x v="0"/>
  </r>
  <r>
    <s v="TX500452"/>
    <x v="18"/>
    <x v="1"/>
    <x v="78"/>
    <n v="73.599999999999994"/>
    <d v="2025-01-20T00:00:00"/>
    <d v="2025-01-26T00:00:00"/>
    <x v="2"/>
    <x v="0"/>
    <x v="2"/>
    <x v="0"/>
    <x v="3"/>
    <x v="4"/>
    <x v="3"/>
    <x v="2"/>
  </r>
  <r>
    <s v="TX500453"/>
    <x v="7"/>
    <x v="2"/>
    <x v="232"/>
    <n v="100.5"/>
    <d v="2025-01-20T00:00:00"/>
    <d v="2025-01-21T00:00:00"/>
    <x v="2"/>
    <x v="0"/>
    <x v="1"/>
    <x v="0"/>
    <x v="3"/>
    <x v="3"/>
    <x v="3"/>
    <x v="2"/>
  </r>
  <r>
    <s v="TX500454"/>
    <x v="6"/>
    <x v="13"/>
    <x v="366"/>
    <n v="375"/>
    <d v="2025-01-20T00:00:00"/>
    <d v="2025-01-22T00:00:00"/>
    <x v="2"/>
    <x v="0"/>
    <x v="0"/>
    <x v="0"/>
    <x v="3"/>
    <x v="1"/>
    <x v="3"/>
    <x v="2"/>
  </r>
  <r>
    <s v="TX500455"/>
    <x v="8"/>
    <x v="29"/>
    <x v="367"/>
    <n v="1916"/>
    <d v="2025-01-20T00:00:00"/>
    <d v="2025-01-21T00:00:00"/>
    <x v="2"/>
    <x v="3"/>
    <x v="0"/>
    <x v="0"/>
    <x v="3"/>
    <x v="3"/>
    <x v="3"/>
    <x v="2"/>
  </r>
  <r>
    <s v="TX500456"/>
    <x v="6"/>
    <x v="13"/>
    <x v="368"/>
    <n v="557.40000000000009"/>
    <d v="2025-01-20T00:00:00"/>
    <d v="2025-01-31T00:00:00"/>
    <x v="2"/>
    <x v="0"/>
    <x v="4"/>
    <x v="0"/>
    <x v="3"/>
    <x v="11"/>
    <x v="3"/>
    <x v="2"/>
  </r>
  <r>
    <s v="TX500457"/>
    <x v="12"/>
    <x v="2"/>
    <x v="369"/>
    <n v="132.30000000000001"/>
    <d v="2025-01-20T00:00:00"/>
    <d v="2025-01-20T00:00:00"/>
    <x v="2"/>
    <x v="1"/>
    <x v="1"/>
    <x v="0"/>
    <x v="43"/>
    <x v="7"/>
    <x v="3"/>
    <x v="2"/>
  </r>
  <r>
    <s v="TX500458"/>
    <x v="0"/>
    <x v="0"/>
    <x v="370"/>
    <n v="11.4"/>
    <d v="2025-01-21T00:00:00"/>
    <d v="2025-01-23T00:00:00"/>
    <x v="2"/>
    <x v="2"/>
    <x v="0"/>
    <x v="0"/>
    <x v="5"/>
    <x v="1"/>
    <x v="3"/>
    <x v="2"/>
  </r>
  <r>
    <s v="TX500459"/>
    <x v="6"/>
    <x v="0"/>
    <x v="371"/>
    <n v="83.7"/>
    <d v="2025-01-21T00:00:00"/>
    <d v="2025-01-23T00:00:00"/>
    <x v="2"/>
    <x v="0"/>
    <x v="2"/>
    <x v="0"/>
    <x v="6"/>
    <x v="1"/>
    <x v="3"/>
    <x v="2"/>
  </r>
  <r>
    <s v="TX500460"/>
    <x v="10"/>
    <x v="1"/>
    <x v="372"/>
    <n v="46.4"/>
    <d v="2025-01-21T00:00:00"/>
    <d v="2025-01-22T00:00:00"/>
    <x v="1"/>
    <x v="2"/>
    <x v="0"/>
    <x v="0"/>
    <x v="8"/>
    <x v="3"/>
    <x v="3"/>
    <x v="1"/>
  </r>
  <r>
    <s v="TX500461"/>
    <x v="2"/>
    <x v="0"/>
    <x v="373"/>
    <n v="162.1"/>
    <d v="2025-01-21T00:00:00"/>
    <d v="2025-01-24T00:00:00"/>
    <x v="2"/>
    <x v="0"/>
    <x v="2"/>
    <x v="0"/>
    <x v="9"/>
    <x v="2"/>
    <x v="3"/>
    <x v="2"/>
  </r>
  <r>
    <s v="TX500462"/>
    <x v="6"/>
    <x v="12"/>
    <x v="364"/>
    <n v="196.8"/>
    <d v="2025-01-21T00:00:00"/>
    <d v="2025-01-25T00:00:00"/>
    <x v="1"/>
    <x v="1"/>
    <x v="0"/>
    <x v="0"/>
    <x v="9"/>
    <x v="5"/>
    <x v="3"/>
    <x v="1"/>
  </r>
  <r>
    <s v="TX500463"/>
    <x v="1"/>
    <x v="1"/>
    <x v="156"/>
    <n v="122"/>
    <d v="2025-01-21T00:00:00"/>
    <d v="2025-01-22T00:00:00"/>
    <x v="1"/>
    <x v="3"/>
    <x v="0"/>
    <x v="0"/>
    <x v="10"/>
    <x v="3"/>
    <x v="3"/>
    <x v="1"/>
  </r>
  <r>
    <s v="TX500464"/>
    <x v="2"/>
    <x v="7"/>
    <x v="213"/>
    <n v="531"/>
    <d v="2025-01-21T00:00:00"/>
    <d v="2025-01-23T00:00:00"/>
    <x v="1"/>
    <x v="0"/>
    <x v="0"/>
    <x v="0"/>
    <x v="11"/>
    <x v="1"/>
    <x v="3"/>
    <x v="1"/>
  </r>
  <r>
    <s v="TX500465"/>
    <x v="4"/>
    <x v="1"/>
    <x v="9"/>
    <n v="44.8"/>
    <d v="2025-01-21T00:00:00"/>
    <d v="2025-01-23T00:00:00"/>
    <x v="0"/>
    <x v="1"/>
    <x v="2"/>
    <x v="0"/>
    <x v="13"/>
    <x v="1"/>
    <x v="3"/>
    <x v="0"/>
  </r>
  <r>
    <s v="TX500466"/>
    <x v="1"/>
    <x v="9"/>
    <x v="374"/>
    <n v="376.5"/>
    <d v="2025-01-21T00:00:00"/>
    <d v="2025-01-22T00:00:00"/>
    <x v="1"/>
    <x v="0"/>
    <x v="0"/>
    <x v="0"/>
    <x v="21"/>
    <x v="3"/>
    <x v="3"/>
    <x v="1"/>
  </r>
  <r>
    <s v="TX500467"/>
    <x v="6"/>
    <x v="0"/>
    <x v="286"/>
    <n v="48.5"/>
    <d v="2025-01-21T00:00:00"/>
    <d v="2025-01-22T00:00:00"/>
    <x v="2"/>
    <x v="0"/>
    <x v="1"/>
    <x v="0"/>
    <x v="21"/>
    <x v="3"/>
    <x v="3"/>
    <x v="2"/>
  </r>
  <r>
    <s v="TX500468"/>
    <x v="6"/>
    <x v="0"/>
    <x v="325"/>
    <n v="42.6"/>
    <d v="2025-01-21T00:00:00"/>
    <d v="2025-01-25T00:00:00"/>
    <x v="2"/>
    <x v="3"/>
    <x v="0"/>
    <x v="0"/>
    <x v="1"/>
    <x v="5"/>
    <x v="3"/>
    <x v="2"/>
  </r>
  <r>
    <s v="TX500469"/>
    <x v="5"/>
    <x v="9"/>
    <x v="11"/>
    <n v="245"/>
    <d v="2025-01-21T00:00:00"/>
    <d v="2025-01-22T00:00:00"/>
    <x v="1"/>
    <x v="0"/>
    <x v="0"/>
    <x v="0"/>
    <x v="22"/>
    <x v="3"/>
    <x v="3"/>
    <x v="1"/>
  </r>
  <r>
    <s v="TX500470"/>
    <x v="8"/>
    <x v="2"/>
    <x v="375"/>
    <n v="93.9"/>
    <d v="2025-01-21T00:00:00"/>
    <d v="2025-01-22T00:00:00"/>
    <x v="1"/>
    <x v="2"/>
    <x v="1"/>
    <x v="0"/>
    <x v="3"/>
    <x v="3"/>
    <x v="3"/>
    <x v="1"/>
  </r>
  <r>
    <s v="TX500471"/>
    <x v="2"/>
    <x v="1"/>
    <x v="376"/>
    <n v="170.8"/>
    <d v="2025-01-21T00:00:00"/>
    <d v="2025-01-22T00:00:00"/>
    <x v="2"/>
    <x v="2"/>
    <x v="0"/>
    <x v="0"/>
    <x v="3"/>
    <x v="3"/>
    <x v="3"/>
    <x v="2"/>
  </r>
  <r>
    <s v="TX500472"/>
    <x v="8"/>
    <x v="12"/>
    <x v="152"/>
    <n v="160"/>
    <d v="2025-01-21T00:00:00"/>
    <d v="2025-01-22T00:00:00"/>
    <x v="3"/>
    <x v="0"/>
    <x v="2"/>
    <x v="0"/>
    <x v="3"/>
    <x v="3"/>
    <x v="3"/>
    <x v="3"/>
  </r>
  <r>
    <s v="TX500473"/>
    <x v="5"/>
    <x v="1"/>
    <x v="153"/>
    <n v="77"/>
    <d v="2025-01-21T00:00:00"/>
    <d v="2025-01-24T00:00:00"/>
    <x v="1"/>
    <x v="1"/>
    <x v="2"/>
    <x v="0"/>
    <x v="3"/>
    <x v="2"/>
    <x v="3"/>
    <x v="1"/>
  </r>
  <r>
    <s v="TX500474"/>
    <x v="2"/>
    <x v="1"/>
    <x v="211"/>
    <n v="115.6"/>
    <d v="2025-01-21T00:00:00"/>
    <d v="2025-01-22T00:00:00"/>
    <x v="0"/>
    <x v="0"/>
    <x v="0"/>
    <x v="0"/>
    <x v="3"/>
    <x v="3"/>
    <x v="3"/>
    <x v="0"/>
  </r>
  <r>
    <s v="TX500475"/>
    <x v="8"/>
    <x v="0"/>
    <x v="359"/>
    <n v="19.2"/>
    <d v="2025-01-21T00:00:00"/>
    <d v="2025-01-22T00:00:00"/>
    <x v="2"/>
    <x v="0"/>
    <x v="4"/>
    <x v="0"/>
    <x v="3"/>
    <x v="3"/>
    <x v="3"/>
    <x v="2"/>
  </r>
  <r>
    <s v="TX500476"/>
    <x v="6"/>
    <x v="13"/>
    <x v="377"/>
    <n v="688.8"/>
    <d v="2025-01-21T00:00:00"/>
    <d v="2025-01-24T00:00:00"/>
    <x v="1"/>
    <x v="1"/>
    <x v="1"/>
    <x v="0"/>
    <x v="3"/>
    <x v="2"/>
    <x v="3"/>
    <x v="1"/>
  </r>
  <r>
    <s v="TX500477"/>
    <x v="10"/>
    <x v="3"/>
    <x v="72"/>
    <n v="338.8"/>
    <d v="2025-01-21T00:00:00"/>
    <d v="2025-01-24T00:00:00"/>
    <x v="2"/>
    <x v="3"/>
    <x v="1"/>
    <x v="0"/>
    <x v="3"/>
    <x v="2"/>
    <x v="3"/>
    <x v="2"/>
  </r>
  <r>
    <s v="TX500478"/>
    <x v="9"/>
    <x v="9"/>
    <x v="378"/>
    <n v="366"/>
    <d v="2025-01-21T00:00:00"/>
    <d v="2025-01-22T00:00:00"/>
    <x v="2"/>
    <x v="1"/>
    <x v="4"/>
    <x v="0"/>
    <x v="3"/>
    <x v="3"/>
    <x v="3"/>
    <x v="2"/>
  </r>
  <r>
    <s v="TX500479"/>
    <x v="15"/>
    <x v="1"/>
    <x v="379"/>
    <n v="97.2"/>
    <d v="2025-01-21T00:00:00"/>
    <d v="2025-01-25T00:00:00"/>
    <x v="2"/>
    <x v="3"/>
    <x v="0"/>
    <x v="0"/>
    <x v="3"/>
    <x v="5"/>
    <x v="3"/>
    <x v="2"/>
  </r>
  <r>
    <s v="TX500480"/>
    <x v="0"/>
    <x v="13"/>
    <x v="242"/>
    <n v="292.20000000000005"/>
    <d v="2025-01-21T00:00:00"/>
    <d v="2025-01-22T00:00:00"/>
    <x v="1"/>
    <x v="0"/>
    <x v="0"/>
    <x v="0"/>
    <x v="3"/>
    <x v="3"/>
    <x v="3"/>
    <x v="1"/>
  </r>
  <r>
    <s v="TX500481"/>
    <x v="4"/>
    <x v="1"/>
    <x v="380"/>
    <n v="64.400000000000006"/>
    <d v="2025-01-21T00:00:00"/>
    <d v="2025-01-24T00:00:00"/>
    <x v="1"/>
    <x v="2"/>
    <x v="2"/>
    <x v="0"/>
    <x v="3"/>
    <x v="2"/>
    <x v="3"/>
    <x v="1"/>
  </r>
  <r>
    <s v="TX500482"/>
    <x v="15"/>
    <x v="8"/>
    <x v="136"/>
    <n v="206.4"/>
    <d v="2025-01-21T00:00:00"/>
    <d v="2025-01-22T00:00:00"/>
    <x v="1"/>
    <x v="0"/>
    <x v="0"/>
    <x v="0"/>
    <x v="37"/>
    <x v="3"/>
    <x v="3"/>
    <x v="1"/>
  </r>
  <r>
    <s v="TX500483"/>
    <x v="6"/>
    <x v="1"/>
    <x v="381"/>
    <n v="189.6"/>
    <d v="2025-01-22T00:00:00"/>
    <d v="2025-01-25T00:00:00"/>
    <x v="2"/>
    <x v="1"/>
    <x v="1"/>
    <x v="0"/>
    <x v="25"/>
    <x v="2"/>
    <x v="3"/>
    <x v="2"/>
  </r>
  <r>
    <s v="TX500484"/>
    <x v="15"/>
    <x v="30"/>
    <x v="382"/>
    <n v="1420"/>
    <d v="2025-01-22T00:00:00"/>
    <d v="2025-01-25T00:00:00"/>
    <x v="1"/>
    <x v="0"/>
    <x v="0"/>
    <x v="0"/>
    <x v="25"/>
    <x v="2"/>
    <x v="3"/>
    <x v="1"/>
  </r>
  <r>
    <s v="TX500485"/>
    <x v="8"/>
    <x v="27"/>
    <x v="383"/>
    <n v="292.8"/>
    <d v="2025-01-22T00:00:00"/>
    <d v="2025-01-29T00:00:00"/>
    <x v="2"/>
    <x v="2"/>
    <x v="2"/>
    <x v="0"/>
    <x v="23"/>
    <x v="6"/>
    <x v="3"/>
    <x v="2"/>
  </r>
  <r>
    <s v="TX500486"/>
    <x v="0"/>
    <x v="2"/>
    <x v="384"/>
    <n v="50.400000000000006"/>
    <d v="2025-01-22T00:00:00"/>
    <d v="2025-01-27T00:00:00"/>
    <x v="2"/>
    <x v="2"/>
    <x v="2"/>
    <x v="0"/>
    <x v="8"/>
    <x v="0"/>
    <x v="3"/>
    <x v="2"/>
  </r>
  <r>
    <s v="TX500487"/>
    <x v="5"/>
    <x v="5"/>
    <x v="385"/>
    <n v="393.79999999999995"/>
    <d v="2025-01-22T00:00:00"/>
    <d v="2025-01-23T00:00:00"/>
    <x v="1"/>
    <x v="1"/>
    <x v="0"/>
    <x v="0"/>
    <x v="17"/>
    <x v="3"/>
    <x v="3"/>
    <x v="1"/>
  </r>
  <r>
    <s v="TX500488"/>
    <x v="18"/>
    <x v="0"/>
    <x v="92"/>
    <n v="64.900000000000006"/>
    <d v="2025-01-22T00:00:00"/>
    <d v="2025-01-23T00:00:00"/>
    <x v="1"/>
    <x v="0"/>
    <x v="1"/>
    <x v="0"/>
    <x v="17"/>
    <x v="3"/>
    <x v="3"/>
    <x v="1"/>
  </r>
  <r>
    <s v="TX500489"/>
    <x v="18"/>
    <x v="0"/>
    <x v="365"/>
    <n v="28.5"/>
    <d v="2025-01-22T00:00:00"/>
    <d v="2025-01-24T00:00:00"/>
    <x v="0"/>
    <x v="1"/>
    <x v="0"/>
    <x v="0"/>
    <x v="9"/>
    <x v="1"/>
    <x v="3"/>
    <x v="0"/>
  </r>
  <r>
    <s v="TX500490"/>
    <x v="18"/>
    <x v="1"/>
    <x v="386"/>
    <n v="207"/>
    <d v="2025-01-22T00:00:00"/>
    <d v="2025-01-24T00:00:00"/>
    <x v="2"/>
    <x v="1"/>
    <x v="0"/>
    <x v="0"/>
    <x v="10"/>
    <x v="1"/>
    <x v="3"/>
    <x v="2"/>
  </r>
  <r>
    <s v="TX500491"/>
    <x v="4"/>
    <x v="1"/>
    <x v="387"/>
    <n v="82.4"/>
    <d v="2025-01-22T00:00:00"/>
    <d v="2025-01-23T00:00:00"/>
    <x v="2"/>
    <x v="1"/>
    <x v="0"/>
    <x v="0"/>
    <x v="10"/>
    <x v="3"/>
    <x v="3"/>
    <x v="2"/>
  </r>
  <r>
    <s v="TX500492"/>
    <x v="9"/>
    <x v="0"/>
    <x v="256"/>
    <n v="37.799999999999997"/>
    <d v="2025-01-22T00:00:00"/>
    <d v="2025-01-24T00:00:00"/>
    <x v="2"/>
    <x v="3"/>
    <x v="3"/>
    <x v="0"/>
    <x v="11"/>
    <x v="1"/>
    <x v="3"/>
    <x v="2"/>
  </r>
  <r>
    <s v="TX500493"/>
    <x v="8"/>
    <x v="1"/>
    <x v="325"/>
    <n v="85.2"/>
    <d v="2025-01-22T00:00:00"/>
    <d v="2025-01-24T00:00:00"/>
    <x v="2"/>
    <x v="4"/>
    <x v="0"/>
    <x v="0"/>
    <x v="11"/>
    <x v="1"/>
    <x v="3"/>
    <x v="2"/>
  </r>
  <r>
    <s v="TX500494"/>
    <x v="8"/>
    <x v="7"/>
    <x v="388"/>
    <n v="152"/>
    <d v="2025-01-22T00:00:00"/>
    <d v="2025-01-24T00:00:00"/>
    <x v="2"/>
    <x v="2"/>
    <x v="0"/>
    <x v="0"/>
    <x v="11"/>
    <x v="1"/>
    <x v="3"/>
    <x v="2"/>
  </r>
  <r>
    <s v="TX500495"/>
    <x v="7"/>
    <x v="12"/>
    <x v="298"/>
    <n v="333.6"/>
    <d v="2025-01-22T00:00:00"/>
    <d v="2025-01-23T00:00:00"/>
    <x v="2"/>
    <x v="2"/>
    <x v="1"/>
    <x v="0"/>
    <x v="18"/>
    <x v="3"/>
    <x v="3"/>
    <x v="2"/>
  </r>
  <r>
    <s v="TX500496"/>
    <x v="19"/>
    <x v="1"/>
    <x v="389"/>
    <n v="55.4"/>
    <d v="2025-01-22T00:00:00"/>
    <d v="2025-01-23T00:00:00"/>
    <x v="2"/>
    <x v="0"/>
    <x v="1"/>
    <x v="0"/>
    <x v="13"/>
    <x v="3"/>
    <x v="3"/>
    <x v="2"/>
  </r>
  <r>
    <s v="TX500497"/>
    <x v="10"/>
    <x v="4"/>
    <x v="390"/>
    <n v="249.60000000000002"/>
    <d v="2025-01-22T00:00:00"/>
    <d v="2025-01-23T00:00:00"/>
    <x v="1"/>
    <x v="3"/>
    <x v="0"/>
    <x v="0"/>
    <x v="13"/>
    <x v="3"/>
    <x v="3"/>
    <x v="1"/>
  </r>
  <r>
    <s v="TX500498"/>
    <x v="11"/>
    <x v="1"/>
    <x v="391"/>
    <n v="145.4"/>
    <d v="2025-01-22T00:00:00"/>
    <d v="2025-01-26T00:00:00"/>
    <x v="2"/>
    <x v="4"/>
    <x v="2"/>
    <x v="0"/>
    <x v="44"/>
    <x v="5"/>
    <x v="3"/>
    <x v="2"/>
  </r>
  <r>
    <s v="TX500499"/>
    <x v="10"/>
    <x v="12"/>
    <x v="392"/>
    <n v="154.4"/>
    <d v="2025-01-22T00:00:00"/>
    <d v="2025-01-23T00:00:00"/>
    <x v="1"/>
    <x v="0"/>
    <x v="2"/>
    <x v="0"/>
    <x v="22"/>
    <x v="3"/>
    <x v="3"/>
    <x v="1"/>
  </r>
  <r>
    <s v="TX500500"/>
    <x v="8"/>
    <x v="3"/>
    <x v="199"/>
    <n v="231.70000000000002"/>
    <d v="2025-01-22T00:00:00"/>
    <d v="2025-01-23T00:00:00"/>
    <x v="3"/>
    <x v="4"/>
    <x v="3"/>
    <x v="0"/>
    <x v="3"/>
    <x v="3"/>
    <x v="3"/>
    <x v="3"/>
  </r>
  <r>
    <s v="TX500501"/>
    <x v="10"/>
    <x v="1"/>
    <x v="162"/>
    <n v="61"/>
    <d v="2025-01-22T00:00:00"/>
    <d v="2025-01-22T00:00:00"/>
    <x v="0"/>
    <x v="1"/>
    <x v="1"/>
    <x v="0"/>
    <x v="3"/>
    <x v="7"/>
    <x v="3"/>
    <x v="0"/>
  </r>
  <r>
    <s v="TX500502"/>
    <x v="9"/>
    <x v="1"/>
    <x v="393"/>
    <n v="139.19999999999999"/>
    <d v="2025-01-22T00:00:00"/>
    <d v="2025-01-23T00:00:00"/>
    <x v="1"/>
    <x v="0"/>
    <x v="1"/>
    <x v="0"/>
    <x v="3"/>
    <x v="3"/>
    <x v="3"/>
    <x v="1"/>
  </r>
  <r>
    <s v="TX500503"/>
    <x v="11"/>
    <x v="0"/>
    <x v="394"/>
    <n v="42.4"/>
    <d v="2025-01-22T00:00:00"/>
    <d v="2025-01-26T00:00:00"/>
    <x v="2"/>
    <x v="1"/>
    <x v="0"/>
    <x v="0"/>
    <x v="3"/>
    <x v="5"/>
    <x v="3"/>
    <x v="2"/>
  </r>
  <r>
    <s v="TX500504"/>
    <x v="17"/>
    <x v="0"/>
    <x v="380"/>
    <n v="32.200000000000003"/>
    <d v="2025-01-22T00:00:00"/>
    <d v="2025-01-25T00:00:00"/>
    <x v="2"/>
    <x v="2"/>
    <x v="1"/>
    <x v="0"/>
    <x v="3"/>
    <x v="2"/>
    <x v="3"/>
    <x v="2"/>
  </r>
  <r>
    <s v="TX500505"/>
    <x v="6"/>
    <x v="1"/>
    <x v="329"/>
    <n v="83"/>
    <d v="2025-01-22T00:00:00"/>
    <d v="2025-01-25T00:00:00"/>
    <x v="2"/>
    <x v="0"/>
    <x v="2"/>
    <x v="0"/>
    <x v="3"/>
    <x v="2"/>
    <x v="3"/>
    <x v="2"/>
  </r>
  <r>
    <s v="TX500506"/>
    <x v="16"/>
    <x v="11"/>
    <x v="395"/>
    <n v="530.1"/>
    <d v="2025-01-22T00:00:00"/>
    <d v="2025-01-26T00:00:00"/>
    <x v="2"/>
    <x v="3"/>
    <x v="0"/>
    <x v="0"/>
    <x v="3"/>
    <x v="5"/>
    <x v="3"/>
    <x v="2"/>
  </r>
  <r>
    <s v="TX500507"/>
    <x v="2"/>
    <x v="0"/>
    <x v="140"/>
    <n v="57.1"/>
    <d v="2025-01-22T00:00:00"/>
    <d v="2025-01-25T00:00:00"/>
    <x v="2"/>
    <x v="1"/>
    <x v="0"/>
    <x v="0"/>
    <x v="3"/>
    <x v="2"/>
    <x v="3"/>
    <x v="2"/>
  </r>
  <r>
    <s v="TX500508"/>
    <x v="6"/>
    <x v="0"/>
    <x v="27"/>
    <n v="57.2"/>
    <d v="2025-01-22T00:00:00"/>
    <d v="2025-01-24T00:00:00"/>
    <x v="1"/>
    <x v="1"/>
    <x v="0"/>
    <x v="0"/>
    <x v="3"/>
    <x v="1"/>
    <x v="3"/>
    <x v="1"/>
  </r>
  <r>
    <s v="TX500509"/>
    <x v="8"/>
    <x v="1"/>
    <x v="334"/>
    <n v="70.2"/>
    <d v="2025-01-22T00:00:00"/>
    <d v="2025-01-23T00:00:00"/>
    <x v="1"/>
    <x v="1"/>
    <x v="0"/>
    <x v="0"/>
    <x v="6"/>
    <x v="3"/>
    <x v="3"/>
    <x v="1"/>
  </r>
  <r>
    <s v="TX500510"/>
    <x v="1"/>
    <x v="0"/>
    <x v="184"/>
    <n v="52.1"/>
    <d v="2025-01-22T00:00:00"/>
    <d v="2025-01-24T00:00:00"/>
    <x v="2"/>
    <x v="4"/>
    <x v="1"/>
    <x v="0"/>
    <x v="8"/>
    <x v="1"/>
    <x v="3"/>
    <x v="2"/>
  </r>
  <r>
    <s v="TX500511"/>
    <x v="13"/>
    <x v="2"/>
    <x v="396"/>
    <n v="179.39999999999998"/>
    <d v="2025-01-22T00:00:00"/>
    <d v="2025-01-24T00:00:00"/>
    <x v="2"/>
    <x v="4"/>
    <x v="1"/>
    <x v="0"/>
    <x v="8"/>
    <x v="1"/>
    <x v="3"/>
    <x v="2"/>
  </r>
  <r>
    <s v="TX500512"/>
    <x v="3"/>
    <x v="12"/>
    <x v="321"/>
    <n v="333.2"/>
    <d v="2025-01-22T00:00:00"/>
    <d v="2025-01-22T00:00:00"/>
    <x v="0"/>
    <x v="2"/>
    <x v="0"/>
    <x v="0"/>
    <x v="8"/>
    <x v="7"/>
    <x v="3"/>
    <x v="0"/>
  </r>
  <r>
    <s v="TX500513"/>
    <x v="15"/>
    <x v="4"/>
    <x v="397"/>
    <n v="495.59999999999997"/>
    <d v="2025-01-22T00:00:00"/>
    <d v="2025-01-23T00:00:00"/>
    <x v="2"/>
    <x v="1"/>
    <x v="0"/>
    <x v="0"/>
    <x v="8"/>
    <x v="3"/>
    <x v="3"/>
    <x v="2"/>
  </r>
  <r>
    <s v="TX500514"/>
    <x v="8"/>
    <x v="9"/>
    <x v="398"/>
    <n v="80"/>
    <d v="2025-01-22T00:00:00"/>
    <d v="2025-01-24T00:00:00"/>
    <x v="1"/>
    <x v="4"/>
    <x v="1"/>
    <x v="0"/>
    <x v="9"/>
    <x v="1"/>
    <x v="3"/>
    <x v="1"/>
  </r>
  <r>
    <s v="TX500515"/>
    <x v="10"/>
    <x v="1"/>
    <x v="390"/>
    <n v="41.6"/>
    <d v="2025-01-23T00:00:00"/>
    <d v="2025-01-25T00:00:00"/>
    <x v="1"/>
    <x v="0"/>
    <x v="2"/>
    <x v="0"/>
    <x v="11"/>
    <x v="1"/>
    <x v="3"/>
    <x v="1"/>
  </r>
  <r>
    <s v="TX500516"/>
    <x v="8"/>
    <x v="31"/>
    <x v="399"/>
    <n v="758.80000000000007"/>
    <d v="2025-01-23T00:00:00"/>
    <d v="2025-01-24T00:00:00"/>
    <x v="0"/>
    <x v="3"/>
    <x v="2"/>
    <x v="0"/>
    <x v="11"/>
    <x v="3"/>
    <x v="3"/>
    <x v="0"/>
  </r>
  <r>
    <s v="TX500517"/>
    <x v="10"/>
    <x v="1"/>
    <x v="400"/>
    <n v="77.8"/>
    <d v="2025-01-23T00:00:00"/>
    <d v="2025-01-25T00:00:00"/>
    <x v="2"/>
    <x v="0"/>
    <x v="0"/>
    <x v="0"/>
    <x v="18"/>
    <x v="1"/>
    <x v="3"/>
    <x v="2"/>
  </r>
  <r>
    <s v="TX500518"/>
    <x v="0"/>
    <x v="1"/>
    <x v="401"/>
    <n v="21.6"/>
    <d v="2025-01-23T00:00:00"/>
    <d v="2025-01-26T00:00:00"/>
    <x v="2"/>
    <x v="1"/>
    <x v="2"/>
    <x v="0"/>
    <x v="45"/>
    <x v="2"/>
    <x v="3"/>
    <x v="2"/>
  </r>
  <r>
    <s v="TX500519"/>
    <x v="4"/>
    <x v="15"/>
    <x v="72"/>
    <n v="629.19999999999993"/>
    <d v="2025-01-23T00:00:00"/>
    <d v="2025-01-27T00:00:00"/>
    <x v="2"/>
    <x v="0"/>
    <x v="0"/>
    <x v="0"/>
    <x v="21"/>
    <x v="5"/>
    <x v="3"/>
    <x v="2"/>
  </r>
  <r>
    <s v="TX500520"/>
    <x v="4"/>
    <x v="2"/>
    <x v="402"/>
    <n v="87.6"/>
    <d v="2025-01-23T00:00:00"/>
    <d v="2025-01-26T00:00:00"/>
    <x v="2"/>
    <x v="1"/>
    <x v="1"/>
    <x v="0"/>
    <x v="2"/>
    <x v="2"/>
    <x v="3"/>
    <x v="2"/>
  </r>
  <r>
    <s v="TX500521"/>
    <x v="4"/>
    <x v="1"/>
    <x v="403"/>
    <n v="50.2"/>
    <d v="2025-01-23T00:00:00"/>
    <d v="2025-01-24T00:00:00"/>
    <x v="1"/>
    <x v="0"/>
    <x v="1"/>
    <x v="0"/>
    <x v="2"/>
    <x v="3"/>
    <x v="3"/>
    <x v="1"/>
  </r>
  <r>
    <s v="TX500522"/>
    <x v="7"/>
    <x v="2"/>
    <x v="404"/>
    <n v="196.79999999999998"/>
    <d v="2025-01-23T00:00:00"/>
    <d v="2025-01-23T00:00:00"/>
    <x v="2"/>
    <x v="2"/>
    <x v="1"/>
    <x v="0"/>
    <x v="3"/>
    <x v="7"/>
    <x v="3"/>
    <x v="2"/>
  </r>
  <r>
    <s v="TX500523"/>
    <x v="2"/>
    <x v="1"/>
    <x v="405"/>
    <n v="114.6"/>
    <d v="2025-01-23T00:00:00"/>
    <d v="2025-01-23T00:00:00"/>
    <x v="0"/>
    <x v="0"/>
    <x v="0"/>
    <x v="0"/>
    <x v="3"/>
    <x v="7"/>
    <x v="3"/>
    <x v="0"/>
  </r>
  <r>
    <s v="TX500524"/>
    <x v="9"/>
    <x v="12"/>
    <x v="9"/>
    <n v="89.6"/>
    <d v="2025-01-23T00:00:00"/>
    <d v="2025-01-24T00:00:00"/>
    <x v="2"/>
    <x v="2"/>
    <x v="2"/>
    <x v="0"/>
    <x v="3"/>
    <x v="3"/>
    <x v="3"/>
    <x v="2"/>
  </r>
  <r>
    <s v="TX500525"/>
    <x v="12"/>
    <x v="11"/>
    <x v="108"/>
    <n v="411.3"/>
    <d v="2025-01-23T00:00:00"/>
    <d v="2025-01-24T00:00:00"/>
    <x v="2"/>
    <x v="0"/>
    <x v="0"/>
    <x v="0"/>
    <x v="3"/>
    <x v="3"/>
    <x v="3"/>
    <x v="2"/>
  </r>
  <r>
    <s v="TX500526"/>
    <x v="8"/>
    <x v="1"/>
    <x v="143"/>
    <n v="58.6"/>
    <d v="2025-01-23T00:00:00"/>
    <d v="2025-01-24T00:00:00"/>
    <x v="1"/>
    <x v="1"/>
    <x v="0"/>
    <x v="0"/>
    <x v="3"/>
    <x v="3"/>
    <x v="3"/>
    <x v="1"/>
  </r>
  <r>
    <s v="TX500527"/>
    <x v="18"/>
    <x v="32"/>
    <x v="326"/>
    <n v="1628"/>
    <d v="2025-01-23T00:00:00"/>
    <d v="2025-01-24T00:00:00"/>
    <x v="1"/>
    <x v="0"/>
    <x v="2"/>
    <x v="0"/>
    <x v="3"/>
    <x v="3"/>
    <x v="3"/>
    <x v="1"/>
  </r>
  <r>
    <s v="TX500528"/>
    <x v="14"/>
    <x v="1"/>
    <x v="406"/>
    <n v="78.400000000000006"/>
    <d v="2025-01-23T00:00:00"/>
    <d v="2025-01-25T00:00:00"/>
    <x v="2"/>
    <x v="1"/>
    <x v="0"/>
    <x v="0"/>
    <x v="3"/>
    <x v="1"/>
    <x v="3"/>
    <x v="2"/>
  </r>
  <r>
    <s v="TX500529"/>
    <x v="4"/>
    <x v="14"/>
    <x v="407"/>
    <n v="1065.9000000000001"/>
    <d v="2025-01-23T00:00:00"/>
    <d v="2025-01-24T00:00:00"/>
    <x v="2"/>
    <x v="2"/>
    <x v="1"/>
    <x v="0"/>
    <x v="3"/>
    <x v="3"/>
    <x v="3"/>
    <x v="2"/>
  </r>
  <r>
    <s v="TX500530"/>
    <x v="10"/>
    <x v="1"/>
    <x v="110"/>
    <n v="120.2"/>
    <d v="2025-01-23T00:00:00"/>
    <d v="2025-01-24T00:00:00"/>
    <x v="2"/>
    <x v="3"/>
    <x v="0"/>
    <x v="0"/>
    <x v="3"/>
    <x v="3"/>
    <x v="3"/>
    <x v="2"/>
  </r>
  <r>
    <s v="TX500531"/>
    <x v="0"/>
    <x v="12"/>
    <x v="408"/>
    <n v="44.8"/>
    <d v="2025-01-23T00:00:00"/>
    <d v="2025-01-24T00:00:00"/>
    <x v="2"/>
    <x v="3"/>
    <x v="1"/>
    <x v="0"/>
    <x v="3"/>
    <x v="3"/>
    <x v="3"/>
    <x v="2"/>
  </r>
  <r>
    <s v="TX500532"/>
    <x v="8"/>
    <x v="1"/>
    <x v="409"/>
    <n v="45.8"/>
    <d v="2025-01-23T00:00:00"/>
    <d v="2025-01-24T00:00:00"/>
    <x v="2"/>
    <x v="0"/>
    <x v="0"/>
    <x v="0"/>
    <x v="6"/>
    <x v="3"/>
    <x v="3"/>
    <x v="2"/>
  </r>
  <r>
    <s v="TX500533"/>
    <x v="1"/>
    <x v="1"/>
    <x v="410"/>
    <n v="75.2"/>
    <d v="2025-01-23T00:00:00"/>
    <d v="2025-01-26T00:00:00"/>
    <x v="2"/>
    <x v="0"/>
    <x v="0"/>
    <x v="0"/>
    <x v="6"/>
    <x v="2"/>
    <x v="3"/>
    <x v="2"/>
  </r>
  <r>
    <s v="TX500534"/>
    <x v="6"/>
    <x v="0"/>
    <x v="394"/>
    <n v="42.4"/>
    <d v="2025-01-23T00:00:00"/>
    <d v="2025-01-24T00:00:00"/>
    <x v="2"/>
    <x v="3"/>
    <x v="2"/>
    <x v="0"/>
    <x v="6"/>
    <x v="3"/>
    <x v="3"/>
    <x v="2"/>
  </r>
  <r>
    <s v="TX500535"/>
    <x v="8"/>
    <x v="1"/>
    <x v="266"/>
    <n v="39.200000000000003"/>
    <d v="2025-01-23T00:00:00"/>
    <d v="2025-01-27T00:00:00"/>
    <x v="2"/>
    <x v="2"/>
    <x v="0"/>
    <x v="0"/>
    <x v="7"/>
    <x v="5"/>
    <x v="3"/>
    <x v="2"/>
  </r>
  <r>
    <s v="TX500536"/>
    <x v="9"/>
    <x v="0"/>
    <x v="411"/>
    <n v="90.5"/>
    <d v="2025-01-23T00:00:00"/>
    <d v="2025-01-26T00:00:00"/>
    <x v="2"/>
    <x v="2"/>
    <x v="0"/>
    <x v="0"/>
    <x v="7"/>
    <x v="2"/>
    <x v="3"/>
    <x v="2"/>
  </r>
  <r>
    <s v="TX500537"/>
    <x v="16"/>
    <x v="5"/>
    <x v="412"/>
    <n v="372.9"/>
    <d v="2025-01-23T00:00:00"/>
    <d v="2025-01-24T00:00:00"/>
    <x v="1"/>
    <x v="2"/>
    <x v="1"/>
    <x v="0"/>
    <x v="7"/>
    <x v="3"/>
    <x v="3"/>
    <x v="1"/>
  </r>
  <r>
    <s v="TX500538"/>
    <x v="0"/>
    <x v="1"/>
    <x v="413"/>
    <n v="65.599999999999994"/>
    <d v="2025-01-23T00:00:00"/>
    <d v="2025-01-25T00:00:00"/>
    <x v="2"/>
    <x v="4"/>
    <x v="4"/>
    <x v="0"/>
    <x v="8"/>
    <x v="1"/>
    <x v="3"/>
    <x v="2"/>
  </r>
  <r>
    <s v="TX500539"/>
    <x v="15"/>
    <x v="0"/>
    <x v="308"/>
    <n v="49.9"/>
    <d v="2025-01-23T00:00:00"/>
    <d v="2025-01-24T00:00:00"/>
    <x v="1"/>
    <x v="3"/>
    <x v="1"/>
    <x v="0"/>
    <x v="8"/>
    <x v="3"/>
    <x v="3"/>
    <x v="1"/>
  </r>
  <r>
    <s v="TX500540"/>
    <x v="7"/>
    <x v="9"/>
    <x v="414"/>
    <n v="396"/>
    <d v="2025-01-23T00:00:00"/>
    <d v="2025-01-24T00:00:00"/>
    <x v="2"/>
    <x v="4"/>
    <x v="0"/>
    <x v="0"/>
    <x v="8"/>
    <x v="3"/>
    <x v="3"/>
    <x v="2"/>
  </r>
  <r>
    <s v="TX500541"/>
    <x v="8"/>
    <x v="27"/>
    <x v="415"/>
    <n v="312"/>
    <d v="2025-01-23T00:00:00"/>
    <d v="2025-01-25T00:00:00"/>
    <x v="1"/>
    <x v="3"/>
    <x v="2"/>
    <x v="0"/>
    <x v="8"/>
    <x v="1"/>
    <x v="3"/>
    <x v="1"/>
  </r>
  <r>
    <s v="TX500542"/>
    <x v="8"/>
    <x v="12"/>
    <x v="53"/>
    <n v="72"/>
    <d v="2025-01-23T00:00:00"/>
    <d v="2025-01-24T00:00:00"/>
    <x v="1"/>
    <x v="1"/>
    <x v="0"/>
    <x v="0"/>
    <x v="10"/>
    <x v="3"/>
    <x v="3"/>
    <x v="1"/>
  </r>
  <r>
    <s v="TX500543"/>
    <x v="9"/>
    <x v="2"/>
    <x v="206"/>
    <n v="137.69999999999999"/>
    <d v="2025-01-23T00:00:00"/>
    <d v="2025-01-25T00:00:00"/>
    <x v="2"/>
    <x v="1"/>
    <x v="1"/>
    <x v="0"/>
    <x v="10"/>
    <x v="1"/>
    <x v="3"/>
    <x v="2"/>
  </r>
  <r>
    <s v="TX500544"/>
    <x v="11"/>
    <x v="0"/>
    <x v="387"/>
    <n v="41.2"/>
    <d v="2025-01-23T00:00:00"/>
    <d v="2025-01-25T00:00:00"/>
    <x v="2"/>
    <x v="1"/>
    <x v="2"/>
    <x v="0"/>
    <x v="11"/>
    <x v="1"/>
    <x v="3"/>
    <x v="2"/>
  </r>
  <r>
    <s v="TX500545"/>
    <x v="2"/>
    <x v="7"/>
    <x v="416"/>
    <n v="1672"/>
    <d v="2025-01-23T00:00:00"/>
    <d v="2025-01-25T00:00:00"/>
    <x v="2"/>
    <x v="2"/>
    <x v="2"/>
    <x v="0"/>
    <x v="32"/>
    <x v="1"/>
    <x v="3"/>
    <x v="2"/>
  </r>
  <r>
    <s v="TX500546"/>
    <x v="6"/>
    <x v="17"/>
    <x v="417"/>
    <n v="2235"/>
    <d v="2025-01-24T00:00:00"/>
    <d v="2025-01-27T00:00:00"/>
    <x v="2"/>
    <x v="1"/>
    <x v="2"/>
    <x v="0"/>
    <x v="38"/>
    <x v="2"/>
    <x v="3"/>
    <x v="2"/>
  </r>
  <r>
    <s v="TX500547"/>
    <x v="7"/>
    <x v="12"/>
    <x v="418"/>
    <n v="157.19999999999999"/>
    <d v="2025-01-24T00:00:00"/>
    <d v="2025-01-25T00:00:00"/>
    <x v="0"/>
    <x v="2"/>
    <x v="0"/>
    <x v="0"/>
    <x v="19"/>
    <x v="3"/>
    <x v="3"/>
    <x v="0"/>
  </r>
  <r>
    <s v="TX500548"/>
    <x v="9"/>
    <x v="0"/>
    <x v="419"/>
    <n v="68.5"/>
    <d v="2025-01-24T00:00:00"/>
    <d v="2025-01-27T00:00:00"/>
    <x v="1"/>
    <x v="1"/>
    <x v="2"/>
    <x v="0"/>
    <x v="12"/>
    <x v="2"/>
    <x v="3"/>
    <x v="1"/>
  </r>
  <r>
    <s v="TX500549"/>
    <x v="0"/>
    <x v="2"/>
    <x v="243"/>
    <n v="67.5"/>
    <d v="2025-01-24T00:00:00"/>
    <d v="2025-01-24T00:00:00"/>
    <x v="2"/>
    <x v="4"/>
    <x v="0"/>
    <x v="0"/>
    <x v="13"/>
    <x v="7"/>
    <x v="3"/>
    <x v="2"/>
  </r>
  <r>
    <s v="TX500550"/>
    <x v="1"/>
    <x v="0"/>
    <x v="196"/>
    <n v="48"/>
    <d v="2025-01-24T00:00:00"/>
    <d v="2025-01-25T00:00:00"/>
    <x v="3"/>
    <x v="4"/>
    <x v="1"/>
    <x v="0"/>
    <x v="46"/>
    <x v="3"/>
    <x v="3"/>
    <x v="3"/>
  </r>
  <r>
    <s v="TX500551"/>
    <x v="6"/>
    <x v="0"/>
    <x v="420"/>
    <n v="94"/>
    <d v="2025-01-24T00:00:00"/>
    <d v="2025-01-25T00:00:00"/>
    <x v="1"/>
    <x v="3"/>
    <x v="1"/>
    <x v="0"/>
    <x v="1"/>
    <x v="3"/>
    <x v="3"/>
    <x v="1"/>
  </r>
  <r>
    <s v="TX500552"/>
    <x v="8"/>
    <x v="2"/>
    <x v="421"/>
    <n v="65.699999999999989"/>
    <d v="2025-01-24T00:00:00"/>
    <d v="2025-01-25T00:00:00"/>
    <x v="2"/>
    <x v="0"/>
    <x v="0"/>
    <x v="0"/>
    <x v="44"/>
    <x v="3"/>
    <x v="3"/>
    <x v="2"/>
  </r>
  <r>
    <s v="TX500553"/>
    <x v="6"/>
    <x v="3"/>
    <x v="92"/>
    <n v="454.30000000000007"/>
    <d v="2025-01-24T00:00:00"/>
    <d v="2025-01-25T00:00:00"/>
    <x v="2"/>
    <x v="0"/>
    <x v="0"/>
    <x v="0"/>
    <x v="3"/>
    <x v="3"/>
    <x v="3"/>
    <x v="2"/>
  </r>
  <r>
    <s v="TX500554"/>
    <x v="12"/>
    <x v="0"/>
    <x v="422"/>
    <n v="52.9"/>
    <d v="2025-01-24T00:00:00"/>
    <d v="2025-01-24T00:00:00"/>
    <x v="2"/>
    <x v="1"/>
    <x v="1"/>
    <x v="0"/>
    <x v="3"/>
    <x v="7"/>
    <x v="3"/>
    <x v="2"/>
  </r>
  <r>
    <s v="TX500555"/>
    <x v="8"/>
    <x v="2"/>
    <x v="423"/>
    <n v="76.5"/>
    <d v="2025-01-24T00:00:00"/>
    <d v="2025-01-25T00:00:00"/>
    <x v="2"/>
    <x v="1"/>
    <x v="2"/>
    <x v="0"/>
    <x v="3"/>
    <x v="3"/>
    <x v="3"/>
    <x v="2"/>
  </r>
  <r>
    <s v="TX500556"/>
    <x v="6"/>
    <x v="2"/>
    <x v="424"/>
    <n v="155.69999999999999"/>
    <d v="2025-01-24T00:00:00"/>
    <d v="2025-01-25T00:00:00"/>
    <x v="2"/>
    <x v="3"/>
    <x v="0"/>
    <x v="0"/>
    <x v="3"/>
    <x v="3"/>
    <x v="3"/>
    <x v="2"/>
  </r>
  <r>
    <s v="TX500557"/>
    <x v="5"/>
    <x v="0"/>
    <x v="425"/>
    <n v="46.3"/>
    <d v="2025-01-24T00:00:00"/>
    <d v="2025-01-27T00:00:00"/>
    <x v="2"/>
    <x v="4"/>
    <x v="0"/>
    <x v="0"/>
    <x v="3"/>
    <x v="2"/>
    <x v="3"/>
    <x v="2"/>
  </r>
  <r>
    <s v="TX500558"/>
    <x v="6"/>
    <x v="1"/>
    <x v="197"/>
    <n v="136.4"/>
    <d v="2025-01-24T00:00:00"/>
    <d v="2025-01-26T00:00:00"/>
    <x v="2"/>
    <x v="3"/>
    <x v="0"/>
    <x v="0"/>
    <x v="3"/>
    <x v="1"/>
    <x v="3"/>
    <x v="2"/>
  </r>
  <r>
    <s v="TX500559"/>
    <x v="1"/>
    <x v="0"/>
    <x v="7"/>
    <n v="40.299999999999997"/>
    <d v="2025-01-24T00:00:00"/>
    <d v="2025-01-25T00:00:00"/>
    <x v="1"/>
    <x v="0"/>
    <x v="1"/>
    <x v="0"/>
    <x v="3"/>
    <x v="3"/>
    <x v="3"/>
    <x v="1"/>
  </r>
  <r>
    <s v="TX500560"/>
    <x v="2"/>
    <x v="2"/>
    <x v="54"/>
    <n v="273.89999999999998"/>
    <d v="2025-01-24T00:00:00"/>
    <d v="2025-01-29T00:00:00"/>
    <x v="1"/>
    <x v="0"/>
    <x v="2"/>
    <x v="0"/>
    <x v="6"/>
    <x v="0"/>
    <x v="3"/>
    <x v="1"/>
  </r>
  <r>
    <s v="TX500561"/>
    <x v="0"/>
    <x v="2"/>
    <x v="426"/>
    <n v="35.700000000000003"/>
    <d v="2025-01-24T00:00:00"/>
    <d v="2025-01-25T00:00:00"/>
    <x v="2"/>
    <x v="0"/>
    <x v="1"/>
    <x v="0"/>
    <x v="6"/>
    <x v="3"/>
    <x v="3"/>
    <x v="2"/>
  </r>
  <r>
    <s v="TX500562"/>
    <x v="2"/>
    <x v="1"/>
    <x v="427"/>
    <n v="127"/>
    <d v="2025-01-24T00:00:00"/>
    <d v="2025-01-26T00:00:00"/>
    <x v="1"/>
    <x v="1"/>
    <x v="0"/>
    <x v="0"/>
    <x v="6"/>
    <x v="1"/>
    <x v="3"/>
    <x v="1"/>
  </r>
  <r>
    <s v="TX500563"/>
    <x v="4"/>
    <x v="1"/>
    <x v="399"/>
    <n v="54.2"/>
    <d v="2025-01-24T00:00:00"/>
    <d v="2025-01-27T00:00:00"/>
    <x v="1"/>
    <x v="2"/>
    <x v="2"/>
    <x v="0"/>
    <x v="6"/>
    <x v="2"/>
    <x v="3"/>
    <x v="1"/>
  </r>
  <r>
    <s v="TX500564"/>
    <x v="1"/>
    <x v="1"/>
    <x v="428"/>
    <n v="164.2"/>
    <d v="2025-01-25T00:00:00"/>
    <d v="2025-01-28T00:00:00"/>
    <x v="1"/>
    <x v="1"/>
    <x v="1"/>
    <x v="0"/>
    <x v="7"/>
    <x v="2"/>
    <x v="3"/>
    <x v="1"/>
  </r>
  <r>
    <s v="TX500565"/>
    <x v="3"/>
    <x v="9"/>
    <x v="429"/>
    <n v="214.5"/>
    <d v="2025-01-25T00:00:00"/>
    <d v="2025-01-27T00:00:00"/>
    <x v="2"/>
    <x v="1"/>
    <x v="0"/>
    <x v="0"/>
    <x v="8"/>
    <x v="1"/>
    <x v="3"/>
    <x v="2"/>
  </r>
  <r>
    <s v="TX500566"/>
    <x v="8"/>
    <x v="5"/>
    <x v="430"/>
    <n v="416.9"/>
    <d v="2025-01-25T00:00:00"/>
    <d v="2025-02-01T00:00:00"/>
    <x v="1"/>
    <x v="0"/>
    <x v="0"/>
    <x v="0"/>
    <x v="8"/>
    <x v="6"/>
    <x v="3"/>
    <x v="1"/>
  </r>
  <r>
    <s v="TX500567"/>
    <x v="0"/>
    <x v="0"/>
    <x v="9"/>
    <n v="22.4"/>
    <d v="2025-01-25T00:00:00"/>
    <d v="2025-01-26T00:00:00"/>
    <x v="2"/>
    <x v="0"/>
    <x v="1"/>
    <x v="0"/>
    <x v="17"/>
    <x v="3"/>
    <x v="3"/>
    <x v="2"/>
  </r>
  <r>
    <s v="TX500568"/>
    <x v="2"/>
    <x v="15"/>
    <x v="22"/>
    <n v="1038.7"/>
    <d v="2025-01-25T00:00:00"/>
    <d v="2025-02-07T00:00:00"/>
    <x v="2"/>
    <x v="3"/>
    <x v="1"/>
    <x v="0"/>
    <x v="11"/>
    <x v="10"/>
    <x v="3"/>
    <x v="2"/>
  </r>
  <r>
    <s v="TX500569"/>
    <x v="1"/>
    <x v="0"/>
    <x v="431"/>
    <n v="70.599999999999994"/>
    <d v="2025-01-25T00:00:00"/>
    <d v="2025-01-28T00:00:00"/>
    <x v="2"/>
    <x v="0"/>
    <x v="1"/>
    <x v="0"/>
    <x v="11"/>
    <x v="2"/>
    <x v="3"/>
    <x v="2"/>
  </r>
  <r>
    <s v="TX500570"/>
    <x v="6"/>
    <x v="0"/>
    <x v="432"/>
    <n v="49.5"/>
    <d v="2025-01-25T00:00:00"/>
    <d v="2025-01-27T00:00:00"/>
    <x v="1"/>
    <x v="0"/>
    <x v="0"/>
    <x v="0"/>
    <x v="13"/>
    <x v="1"/>
    <x v="3"/>
    <x v="1"/>
  </r>
  <r>
    <s v="TX500571"/>
    <x v="2"/>
    <x v="1"/>
    <x v="433"/>
    <n v="193.2"/>
    <d v="2025-01-25T00:00:00"/>
    <d v="2025-01-27T00:00:00"/>
    <x v="1"/>
    <x v="0"/>
    <x v="0"/>
    <x v="0"/>
    <x v="21"/>
    <x v="1"/>
    <x v="3"/>
    <x v="1"/>
  </r>
  <r>
    <s v="TX500572"/>
    <x v="6"/>
    <x v="1"/>
    <x v="434"/>
    <n v="105.6"/>
    <d v="2025-01-25T00:00:00"/>
    <d v="2025-01-26T00:00:00"/>
    <x v="2"/>
    <x v="1"/>
    <x v="1"/>
    <x v="0"/>
    <x v="21"/>
    <x v="3"/>
    <x v="3"/>
    <x v="2"/>
  </r>
  <r>
    <s v="TX500573"/>
    <x v="2"/>
    <x v="0"/>
    <x v="435"/>
    <n v="101.7"/>
    <d v="2025-01-25T00:00:00"/>
    <d v="2025-01-26T00:00:00"/>
    <x v="1"/>
    <x v="0"/>
    <x v="0"/>
    <x v="0"/>
    <x v="1"/>
    <x v="3"/>
    <x v="3"/>
    <x v="1"/>
  </r>
  <r>
    <s v="TX500574"/>
    <x v="4"/>
    <x v="9"/>
    <x v="436"/>
    <n v="134.5"/>
    <d v="2025-01-25T00:00:00"/>
    <d v="2025-01-30T00:00:00"/>
    <x v="2"/>
    <x v="1"/>
    <x v="1"/>
    <x v="0"/>
    <x v="22"/>
    <x v="0"/>
    <x v="3"/>
    <x v="2"/>
  </r>
  <r>
    <s v="TX500575"/>
    <x v="2"/>
    <x v="12"/>
    <x v="437"/>
    <n v="844"/>
    <d v="2025-01-25T00:00:00"/>
    <d v="2025-01-25T00:00:00"/>
    <x v="2"/>
    <x v="1"/>
    <x v="1"/>
    <x v="0"/>
    <x v="3"/>
    <x v="7"/>
    <x v="3"/>
    <x v="2"/>
  </r>
  <r>
    <s v="TX500576"/>
    <x v="0"/>
    <x v="12"/>
    <x v="438"/>
    <n v="84.4"/>
    <d v="2025-01-25T00:00:00"/>
    <d v="2025-01-28T00:00:00"/>
    <x v="1"/>
    <x v="4"/>
    <x v="0"/>
    <x v="0"/>
    <x v="3"/>
    <x v="2"/>
    <x v="3"/>
    <x v="1"/>
  </r>
  <r>
    <s v="TX500577"/>
    <x v="10"/>
    <x v="0"/>
    <x v="439"/>
    <n v="26.6"/>
    <d v="2025-01-25T00:00:00"/>
    <d v="2025-01-27T00:00:00"/>
    <x v="1"/>
    <x v="0"/>
    <x v="4"/>
    <x v="0"/>
    <x v="3"/>
    <x v="1"/>
    <x v="3"/>
    <x v="1"/>
  </r>
  <r>
    <s v="TX500578"/>
    <x v="12"/>
    <x v="12"/>
    <x v="440"/>
    <n v="204.8"/>
    <d v="2025-01-25T00:00:00"/>
    <d v="2025-01-26T00:00:00"/>
    <x v="2"/>
    <x v="3"/>
    <x v="0"/>
    <x v="0"/>
    <x v="47"/>
    <x v="3"/>
    <x v="3"/>
    <x v="2"/>
  </r>
  <r>
    <s v="TX500579"/>
    <x v="0"/>
    <x v="9"/>
    <x v="441"/>
    <n v="53"/>
    <d v="2025-01-25T00:00:00"/>
    <d v="2025-01-29T00:00:00"/>
    <x v="2"/>
    <x v="0"/>
    <x v="0"/>
    <x v="0"/>
    <x v="8"/>
    <x v="5"/>
    <x v="3"/>
    <x v="2"/>
  </r>
  <r>
    <s v="TX500580"/>
    <x v="6"/>
    <x v="2"/>
    <x v="171"/>
    <n v="130.19999999999999"/>
    <d v="2025-01-25T00:00:00"/>
    <d v="2025-01-28T00:00:00"/>
    <x v="2"/>
    <x v="4"/>
    <x v="0"/>
    <x v="0"/>
    <x v="8"/>
    <x v="2"/>
    <x v="3"/>
    <x v="2"/>
  </r>
  <r>
    <s v="TX500581"/>
    <x v="12"/>
    <x v="0"/>
    <x v="442"/>
    <n v="80"/>
    <d v="2025-01-25T00:00:00"/>
    <d v="2025-01-25T00:00:00"/>
    <x v="2"/>
    <x v="0"/>
    <x v="2"/>
    <x v="0"/>
    <x v="8"/>
    <x v="7"/>
    <x v="3"/>
    <x v="2"/>
  </r>
  <r>
    <s v="TX500582"/>
    <x v="10"/>
    <x v="12"/>
    <x v="337"/>
    <n v="258.8"/>
    <d v="2025-01-25T00:00:00"/>
    <d v="2025-01-27T00:00:00"/>
    <x v="2"/>
    <x v="1"/>
    <x v="4"/>
    <x v="0"/>
    <x v="8"/>
    <x v="1"/>
    <x v="3"/>
    <x v="2"/>
  </r>
  <r>
    <s v="TX500583"/>
    <x v="8"/>
    <x v="5"/>
    <x v="133"/>
    <n v="289.3"/>
    <d v="2025-01-26T00:00:00"/>
    <d v="2025-01-26T00:00:00"/>
    <x v="2"/>
    <x v="4"/>
    <x v="1"/>
    <x v="0"/>
    <x v="26"/>
    <x v="7"/>
    <x v="4"/>
    <x v="2"/>
  </r>
  <r>
    <s v="TX500584"/>
    <x v="10"/>
    <x v="0"/>
    <x v="365"/>
    <n v="28.5"/>
    <d v="2025-01-26T00:00:00"/>
    <d v="2025-01-26T00:00:00"/>
    <x v="1"/>
    <x v="0"/>
    <x v="1"/>
    <x v="0"/>
    <x v="9"/>
    <x v="7"/>
    <x v="4"/>
    <x v="1"/>
  </r>
  <r>
    <s v="TX500585"/>
    <x v="17"/>
    <x v="0"/>
    <x v="134"/>
    <n v="47.8"/>
    <d v="2025-01-26T00:00:00"/>
    <d v="2025-01-28T00:00:00"/>
    <x v="2"/>
    <x v="0"/>
    <x v="1"/>
    <x v="0"/>
    <x v="9"/>
    <x v="1"/>
    <x v="4"/>
    <x v="2"/>
  </r>
  <r>
    <s v="TX500586"/>
    <x v="10"/>
    <x v="2"/>
    <x v="443"/>
    <n v="128.39999999999998"/>
    <d v="2025-01-26T00:00:00"/>
    <d v="2025-01-29T00:00:00"/>
    <x v="2"/>
    <x v="4"/>
    <x v="1"/>
    <x v="0"/>
    <x v="11"/>
    <x v="2"/>
    <x v="4"/>
    <x v="2"/>
  </r>
  <r>
    <s v="TX500587"/>
    <x v="6"/>
    <x v="9"/>
    <x v="84"/>
    <n v="234"/>
    <d v="2025-01-26T00:00:00"/>
    <d v="2025-01-31T00:00:00"/>
    <x v="2"/>
    <x v="1"/>
    <x v="2"/>
    <x v="0"/>
    <x v="11"/>
    <x v="0"/>
    <x v="4"/>
    <x v="2"/>
  </r>
  <r>
    <s v="TX500588"/>
    <x v="1"/>
    <x v="7"/>
    <x v="444"/>
    <n v="641"/>
    <d v="2025-01-26T00:00:00"/>
    <d v="2025-01-27T00:00:00"/>
    <x v="1"/>
    <x v="1"/>
    <x v="0"/>
    <x v="0"/>
    <x v="11"/>
    <x v="3"/>
    <x v="4"/>
    <x v="1"/>
  </r>
  <r>
    <s v="TX500589"/>
    <x v="2"/>
    <x v="0"/>
    <x v="66"/>
    <n v="89.1"/>
    <d v="2025-01-26T00:00:00"/>
    <d v="2025-01-27T00:00:00"/>
    <x v="2"/>
    <x v="0"/>
    <x v="1"/>
    <x v="0"/>
    <x v="20"/>
    <x v="3"/>
    <x v="4"/>
    <x v="2"/>
  </r>
  <r>
    <s v="TX500590"/>
    <x v="2"/>
    <x v="2"/>
    <x v="445"/>
    <n v="249.29999999999998"/>
    <d v="2025-01-26T00:00:00"/>
    <d v="2025-01-27T00:00:00"/>
    <x v="2"/>
    <x v="2"/>
    <x v="1"/>
    <x v="0"/>
    <x v="13"/>
    <x v="3"/>
    <x v="4"/>
    <x v="2"/>
  </r>
  <r>
    <s v="TX500591"/>
    <x v="8"/>
    <x v="2"/>
    <x v="446"/>
    <n v="122.69999999999999"/>
    <d v="2025-01-26T00:00:00"/>
    <d v="2025-01-27T00:00:00"/>
    <x v="1"/>
    <x v="0"/>
    <x v="0"/>
    <x v="0"/>
    <x v="1"/>
    <x v="3"/>
    <x v="4"/>
    <x v="1"/>
  </r>
  <r>
    <s v="TX500592"/>
    <x v="2"/>
    <x v="1"/>
    <x v="447"/>
    <n v="251.4"/>
    <d v="2025-01-26T00:00:00"/>
    <d v="2025-01-27T00:00:00"/>
    <x v="2"/>
    <x v="3"/>
    <x v="0"/>
    <x v="0"/>
    <x v="2"/>
    <x v="3"/>
    <x v="4"/>
    <x v="2"/>
  </r>
  <r>
    <s v="TX500593"/>
    <x v="3"/>
    <x v="1"/>
    <x v="15"/>
    <n v="61.8"/>
    <d v="2025-01-26T00:00:00"/>
    <d v="2025-01-26T00:00:00"/>
    <x v="2"/>
    <x v="2"/>
    <x v="2"/>
    <x v="0"/>
    <x v="22"/>
    <x v="7"/>
    <x v="4"/>
    <x v="2"/>
  </r>
  <r>
    <s v="TX500594"/>
    <x v="8"/>
    <x v="1"/>
    <x v="383"/>
    <n v="36.6"/>
    <d v="2025-01-26T00:00:00"/>
    <d v="2025-01-27T00:00:00"/>
    <x v="2"/>
    <x v="1"/>
    <x v="0"/>
    <x v="0"/>
    <x v="3"/>
    <x v="3"/>
    <x v="4"/>
    <x v="2"/>
  </r>
  <r>
    <s v="TX500595"/>
    <x v="4"/>
    <x v="1"/>
    <x v="448"/>
    <n v="113"/>
    <d v="2025-01-26T00:00:00"/>
    <d v="2025-01-30T00:00:00"/>
    <x v="1"/>
    <x v="2"/>
    <x v="2"/>
    <x v="0"/>
    <x v="3"/>
    <x v="5"/>
    <x v="4"/>
    <x v="1"/>
  </r>
  <r>
    <s v="TX500596"/>
    <x v="10"/>
    <x v="3"/>
    <x v="32"/>
    <n v="209.29999999999998"/>
    <d v="2025-01-26T00:00:00"/>
    <d v="2025-01-28T00:00:00"/>
    <x v="1"/>
    <x v="4"/>
    <x v="2"/>
    <x v="0"/>
    <x v="3"/>
    <x v="1"/>
    <x v="4"/>
    <x v="1"/>
  </r>
  <r>
    <s v="TX500597"/>
    <x v="5"/>
    <x v="1"/>
    <x v="88"/>
    <n v="100.8"/>
    <d v="2025-01-26T00:00:00"/>
    <d v="2025-01-27T00:00:00"/>
    <x v="2"/>
    <x v="2"/>
    <x v="0"/>
    <x v="0"/>
    <x v="3"/>
    <x v="3"/>
    <x v="4"/>
    <x v="2"/>
  </r>
  <r>
    <s v="TX500598"/>
    <x v="2"/>
    <x v="0"/>
    <x v="449"/>
    <n v="85.8"/>
    <d v="2025-01-26T00:00:00"/>
    <d v="2025-01-26T00:00:00"/>
    <x v="2"/>
    <x v="2"/>
    <x v="2"/>
    <x v="0"/>
    <x v="3"/>
    <x v="7"/>
    <x v="4"/>
    <x v="2"/>
  </r>
  <r>
    <s v="TX500599"/>
    <x v="4"/>
    <x v="27"/>
    <x v="450"/>
    <n v="1065.5999999999999"/>
    <d v="2025-01-26T00:00:00"/>
    <d v="2025-01-28T00:00:00"/>
    <x v="1"/>
    <x v="1"/>
    <x v="0"/>
    <x v="0"/>
    <x v="3"/>
    <x v="1"/>
    <x v="4"/>
    <x v="1"/>
  </r>
  <r>
    <s v="TX500600"/>
    <x v="6"/>
    <x v="12"/>
    <x v="451"/>
    <n v="281.2"/>
    <d v="2025-01-26T00:00:00"/>
    <d v="2025-01-27T00:00:00"/>
    <x v="2"/>
    <x v="0"/>
    <x v="1"/>
    <x v="0"/>
    <x v="3"/>
    <x v="3"/>
    <x v="4"/>
    <x v="2"/>
  </r>
  <r>
    <s v="TX500601"/>
    <x v="8"/>
    <x v="12"/>
    <x v="452"/>
    <n v="124"/>
    <d v="2025-01-26T00:00:00"/>
    <d v="2025-01-29T00:00:00"/>
    <x v="1"/>
    <x v="0"/>
    <x v="2"/>
    <x v="0"/>
    <x v="3"/>
    <x v="2"/>
    <x v="4"/>
    <x v="1"/>
  </r>
  <r>
    <s v="TX500602"/>
    <x v="7"/>
    <x v="13"/>
    <x v="453"/>
    <n v="489.59999999999997"/>
    <d v="2025-01-26T00:00:00"/>
    <d v="2025-01-27T00:00:00"/>
    <x v="2"/>
    <x v="1"/>
    <x v="1"/>
    <x v="0"/>
    <x v="37"/>
    <x v="3"/>
    <x v="4"/>
    <x v="2"/>
  </r>
  <r>
    <s v="TX500603"/>
    <x v="1"/>
    <x v="30"/>
    <x v="207"/>
    <n v="1457.5"/>
    <d v="2025-01-26T00:00:00"/>
    <d v="2025-01-27T00:00:00"/>
    <x v="2"/>
    <x v="0"/>
    <x v="0"/>
    <x v="0"/>
    <x v="16"/>
    <x v="3"/>
    <x v="4"/>
    <x v="2"/>
  </r>
  <r>
    <s v="TX500604"/>
    <x v="1"/>
    <x v="12"/>
    <x v="334"/>
    <n v="140.4"/>
    <d v="2025-01-26T00:00:00"/>
    <d v="2025-01-28T00:00:00"/>
    <x v="1"/>
    <x v="0"/>
    <x v="2"/>
    <x v="0"/>
    <x v="8"/>
    <x v="1"/>
    <x v="4"/>
    <x v="1"/>
  </r>
  <r>
    <s v="TX500605"/>
    <x v="2"/>
    <x v="0"/>
    <x v="454"/>
    <n v="80.2"/>
    <d v="2025-01-26T00:00:00"/>
    <d v="2025-01-27T00:00:00"/>
    <x v="1"/>
    <x v="3"/>
    <x v="2"/>
    <x v="0"/>
    <x v="8"/>
    <x v="3"/>
    <x v="4"/>
    <x v="1"/>
  </r>
  <r>
    <s v="TX500606"/>
    <x v="14"/>
    <x v="2"/>
    <x v="406"/>
    <n v="117.60000000000001"/>
    <d v="2025-01-26T00:00:00"/>
    <d v="2025-01-28T00:00:00"/>
    <x v="2"/>
    <x v="1"/>
    <x v="0"/>
    <x v="0"/>
    <x v="9"/>
    <x v="1"/>
    <x v="4"/>
    <x v="2"/>
  </r>
  <r>
    <s v="TX500607"/>
    <x v="0"/>
    <x v="1"/>
    <x v="455"/>
    <n v="30.8"/>
    <d v="2025-01-26T00:00:00"/>
    <d v="2025-01-26T00:00:00"/>
    <x v="2"/>
    <x v="3"/>
    <x v="0"/>
    <x v="0"/>
    <x v="48"/>
    <x v="7"/>
    <x v="4"/>
    <x v="2"/>
  </r>
  <r>
    <s v="TX500608"/>
    <x v="3"/>
    <x v="2"/>
    <x v="456"/>
    <n v="196.20000000000002"/>
    <d v="2025-01-26T00:00:00"/>
    <d v="2025-01-29T00:00:00"/>
    <x v="1"/>
    <x v="3"/>
    <x v="0"/>
    <x v="0"/>
    <x v="18"/>
    <x v="2"/>
    <x v="4"/>
    <x v="1"/>
  </r>
  <r>
    <s v="TX500609"/>
    <x v="1"/>
    <x v="8"/>
    <x v="56"/>
    <n v="505.6"/>
    <d v="2025-01-26T00:00:00"/>
    <d v="2025-01-28T00:00:00"/>
    <x v="2"/>
    <x v="1"/>
    <x v="0"/>
    <x v="0"/>
    <x v="19"/>
    <x v="1"/>
    <x v="4"/>
    <x v="2"/>
  </r>
  <r>
    <s v="TX500610"/>
    <x v="1"/>
    <x v="13"/>
    <x v="8"/>
    <n v="214.20000000000002"/>
    <d v="2025-01-26T00:00:00"/>
    <d v="2025-01-30T00:00:00"/>
    <x v="2"/>
    <x v="4"/>
    <x v="1"/>
    <x v="0"/>
    <x v="19"/>
    <x v="5"/>
    <x v="4"/>
    <x v="2"/>
  </r>
  <r>
    <s v="TX500611"/>
    <x v="0"/>
    <x v="28"/>
    <x v="457"/>
    <n v="524"/>
    <d v="2025-01-26T00:00:00"/>
    <d v="2025-01-27T00:00:00"/>
    <x v="2"/>
    <x v="3"/>
    <x v="0"/>
    <x v="0"/>
    <x v="21"/>
    <x v="3"/>
    <x v="4"/>
    <x v="2"/>
  </r>
  <r>
    <s v="TX500612"/>
    <x v="7"/>
    <x v="1"/>
    <x v="452"/>
    <n v="62"/>
    <d v="2025-01-26T00:00:00"/>
    <d v="2025-01-27T00:00:00"/>
    <x v="2"/>
    <x v="0"/>
    <x v="2"/>
    <x v="0"/>
    <x v="1"/>
    <x v="3"/>
    <x v="4"/>
    <x v="2"/>
  </r>
  <r>
    <s v="TX500613"/>
    <x v="8"/>
    <x v="12"/>
    <x v="3"/>
    <n v="150.80000000000001"/>
    <d v="2025-01-26T00:00:00"/>
    <d v="2025-01-27T00:00:00"/>
    <x v="2"/>
    <x v="1"/>
    <x v="0"/>
    <x v="0"/>
    <x v="22"/>
    <x v="3"/>
    <x v="4"/>
    <x v="2"/>
  </r>
  <r>
    <s v="TX500614"/>
    <x v="10"/>
    <x v="33"/>
    <x v="458"/>
    <n v="1482.4"/>
    <d v="2025-01-26T00:00:00"/>
    <d v="2025-01-28T00:00:00"/>
    <x v="2"/>
    <x v="4"/>
    <x v="1"/>
    <x v="0"/>
    <x v="3"/>
    <x v="1"/>
    <x v="4"/>
    <x v="2"/>
  </r>
  <r>
    <s v="TX500615"/>
    <x v="9"/>
    <x v="12"/>
    <x v="38"/>
    <n v="106"/>
    <d v="2025-01-26T00:00:00"/>
    <d v="2025-01-28T00:00:00"/>
    <x v="1"/>
    <x v="0"/>
    <x v="4"/>
    <x v="0"/>
    <x v="3"/>
    <x v="1"/>
    <x v="4"/>
    <x v="1"/>
  </r>
  <r>
    <s v="TX500616"/>
    <x v="0"/>
    <x v="1"/>
    <x v="292"/>
    <n v="69.2"/>
    <d v="2025-01-26T00:00:00"/>
    <d v="2025-01-27T00:00:00"/>
    <x v="1"/>
    <x v="4"/>
    <x v="1"/>
    <x v="0"/>
    <x v="3"/>
    <x v="3"/>
    <x v="4"/>
    <x v="1"/>
  </r>
  <r>
    <s v="TX500617"/>
    <x v="8"/>
    <x v="1"/>
    <x v="296"/>
    <n v="116.4"/>
    <d v="2025-01-26T00:00:00"/>
    <d v="2025-01-27T00:00:00"/>
    <x v="1"/>
    <x v="2"/>
    <x v="2"/>
    <x v="0"/>
    <x v="3"/>
    <x v="3"/>
    <x v="4"/>
    <x v="1"/>
  </r>
  <r>
    <s v="TX500618"/>
    <x v="7"/>
    <x v="0"/>
    <x v="224"/>
    <n v="30.2"/>
    <d v="2025-01-27T00:00:00"/>
    <d v="2025-01-28T00:00:00"/>
    <x v="2"/>
    <x v="2"/>
    <x v="1"/>
    <x v="0"/>
    <x v="3"/>
    <x v="3"/>
    <x v="4"/>
    <x v="2"/>
  </r>
  <r>
    <s v="TX500619"/>
    <x v="1"/>
    <x v="7"/>
    <x v="459"/>
    <n v="532"/>
    <d v="2025-01-27T00:00:00"/>
    <d v="2025-01-28T00:00:00"/>
    <x v="1"/>
    <x v="0"/>
    <x v="2"/>
    <x v="0"/>
    <x v="5"/>
    <x v="3"/>
    <x v="4"/>
    <x v="1"/>
  </r>
  <r>
    <s v="TX500620"/>
    <x v="12"/>
    <x v="13"/>
    <x v="18"/>
    <n v="306.60000000000002"/>
    <d v="2025-01-27T00:00:00"/>
    <d v="2025-01-27T00:00:00"/>
    <x v="1"/>
    <x v="1"/>
    <x v="2"/>
    <x v="0"/>
    <x v="5"/>
    <x v="7"/>
    <x v="4"/>
    <x v="1"/>
  </r>
  <r>
    <s v="TX500621"/>
    <x v="1"/>
    <x v="0"/>
    <x v="460"/>
    <n v="105.4"/>
    <d v="2025-01-27T00:00:00"/>
    <d v="2025-01-31T00:00:00"/>
    <x v="2"/>
    <x v="1"/>
    <x v="2"/>
    <x v="0"/>
    <x v="23"/>
    <x v="5"/>
    <x v="4"/>
    <x v="2"/>
  </r>
  <r>
    <s v="TX500622"/>
    <x v="7"/>
    <x v="0"/>
    <x v="461"/>
    <n v="57.7"/>
    <d v="2025-01-27T00:00:00"/>
    <d v="2025-01-27T00:00:00"/>
    <x v="1"/>
    <x v="0"/>
    <x v="4"/>
    <x v="0"/>
    <x v="8"/>
    <x v="7"/>
    <x v="4"/>
    <x v="1"/>
  </r>
  <r>
    <s v="TX500623"/>
    <x v="15"/>
    <x v="1"/>
    <x v="462"/>
    <n v="144.80000000000001"/>
    <d v="2025-01-27T00:00:00"/>
    <d v="2025-02-01T00:00:00"/>
    <x v="2"/>
    <x v="0"/>
    <x v="0"/>
    <x v="0"/>
    <x v="17"/>
    <x v="0"/>
    <x v="4"/>
    <x v="2"/>
  </r>
  <r>
    <s v="TX500624"/>
    <x v="6"/>
    <x v="1"/>
    <x v="366"/>
    <n v="125"/>
    <d v="2025-01-27T00:00:00"/>
    <d v="2025-01-28T00:00:00"/>
    <x v="0"/>
    <x v="0"/>
    <x v="2"/>
    <x v="0"/>
    <x v="11"/>
    <x v="3"/>
    <x v="4"/>
    <x v="0"/>
  </r>
  <r>
    <s v="TX500625"/>
    <x v="0"/>
    <x v="32"/>
    <x v="463"/>
    <n v="255.2"/>
    <d v="2025-01-27T00:00:00"/>
    <d v="2025-01-29T00:00:00"/>
    <x v="2"/>
    <x v="3"/>
    <x v="2"/>
    <x v="0"/>
    <x v="18"/>
    <x v="1"/>
    <x v="4"/>
    <x v="2"/>
  </r>
  <r>
    <s v="TX500626"/>
    <x v="10"/>
    <x v="7"/>
    <x v="180"/>
    <n v="396"/>
    <d v="2025-01-27T00:00:00"/>
    <d v="2025-01-29T00:00:00"/>
    <x v="2"/>
    <x v="2"/>
    <x v="2"/>
    <x v="0"/>
    <x v="18"/>
    <x v="1"/>
    <x v="4"/>
    <x v="2"/>
  </r>
  <r>
    <s v="TX500627"/>
    <x v="8"/>
    <x v="1"/>
    <x v="464"/>
    <n v="80.2"/>
    <d v="2025-01-27T00:00:00"/>
    <d v="2025-01-28T00:00:00"/>
    <x v="2"/>
    <x v="2"/>
    <x v="0"/>
    <x v="0"/>
    <x v="18"/>
    <x v="3"/>
    <x v="4"/>
    <x v="2"/>
  </r>
  <r>
    <s v="TX500628"/>
    <x v="8"/>
    <x v="2"/>
    <x v="465"/>
    <n v="55.800000000000004"/>
    <d v="2025-01-27T00:00:00"/>
    <d v="2025-01-28T00:00:00"/>
    <x v="2"/>
    <x v="2"/>
    <x v="0"/>
    <x v="0"/>
    <x v="21"/>
    <x v="3"/>
    <x v="4"/>
    <x v="2"/>
  </r>
  <r>
    <s v="TX500629"/>
    <x v="4"/>
    <x v="0"/>
    <x v="466"/>
    <n v="58.8"/>
    <d v="2025-01-27T00:00:00"/>
    <d v="2025-01-29T00:00:00"/>
    <x v="2"/>
    <x v="0"/>
    <x v="1"/>
    <x v="0"/>
    <x v="21"/>
    <x v="1"/>
    <x v="4"/>
    <x v="2"/>
  </r>
  <r>
    <s v="TX500630"/>
    <x v="8"/>
    <x v="1"/>
    <x v="237"/>
    <n v="44.2"/>
    <d v="2025-01-27T00:00:00"/>
    <d v="2025-01-30T00:00:00"/>
    <x v="1"/>
    <x v="1"/>
    <x v="2"/>
    <x v="0"/>
    <x v="21"/>
    <x v="2"/>
    <x v="4"/>
    <x v="1"/>
  </r>
  <r>
    <s v="TX500631"/>
    <x v="2"/>
    <x v="0"/>
    <x v="467"/>
    <n v="114.9"/>
    <d v="2025-01-28T00:00:00"/>
    <d v="2025-01-29T00:00:00"/>
    <x v="2"/>
    <x v="1"/>
    <x v="1"/>
    <x v="0"/>
    <x v="22"/>
    <x v="3"/>
    <x v="4"/>
    <x v="2"/>
  </r>
  <r>
    <s v="TX500632"/>
    <x v="9"/>
    <x v="9"/>
    <x v="124"/>
    <n v="379"/>
    <d v="2025-01-28T00:00:00"/>
    <d v="2025-01-29T00:00:00"/>
    <x v="1"/>
    <x v="0"/>
    <x v="2"/>
    <x v="0"/>
    <x v="3"/>
    <x v="3"/>
    <x v="4"/>
    <x v="1"/>
  </r>
  <r>
    <s v="TX500633"/>
    <x v="14"/>
    <x v="9"/>
    <x v="468"/>
    <n v="103"/>
    <d v="2025-01-28T00:00:00"/>
    <d v="2025-01-29T00:00:00"/>
    <x v="1"/>
    <x v="2"/>
    <x v="2"/>
    <x v="0"/>
    <x v="3"/>
    <x v="3"/>
    <x v="4"/>
    <x v="1"/>
  </r>
  <r>
    <s v="TX500634"/>
    <x v="17"/>
    <x v="2"/>
    <x v="469"/>
    <n v="203.70000000000002"/>
    <d v="2025-01-28T00:00:00"/>
    <d v="2025-01-29T00:00:00"/>
    <x v="2"/>
    <x v="1"/>
    <x v="1"/>
    <x v="0"/>
    <x v="3"/>
    <x v="3"/>
    <x v="4"/>
    <x v="2"/>
  </r>
  <r>
    <s v="TX500635"/>
    <x v="0"/>
    <x v="9"/>
    <x v="49"/>
    <n v="135"/>
    <d v="2025-01-28T00:00:00"/>
    <d v="2025-02-04T00:00:00"/>
    <x v="2"/>
    <x v="0"/>
    <x v="2"/>
    <x v="0"/>
    <x v="3"/>
    <x v="6"/>
    <x v="4"/>
    <x v="2"/>
  </r>
  <r>
    <s v="TX500636"/>
    <x v="13"/>
    <x v="0"/>
    <x v="79"/>
    <n v="50.6"/>
    <d v="2025-01-28T00:00:00"/>
    <d v="2025-01-28T00:00:00"/>
    <x v="1"/>
    <x v="0"/>
    <x v="1"/>
    <x v="0"/>
    <x v="3"/>
    <x v="7"/>
    <x v="4"/>
    <x v="1"/>
  </r>
  <r>
    <s v="TX500637"/>
    <x v="4"/>
    <x v="9"/>
    <x v="237"/>
    <n v="110.5"/>
    <d v="2025-01-28T00:00:00"/>
    <d v="2025-02-02T00:00:00"/>
    <x v="1"/>
    <x v="0"/>
    <x v="0"/>
    <x v="0"/>
    <x v="3"/>
    <x v="0"/>
    <x v="4"/>
    <x v="1"/>
  </r>
  <r>
    <s v="TX500638"/>
    <x v="8"/>
    <x v="2"/>
    <x v="429"/>
    <n v="128.69999999999999"/>
    <d v="2025-01-28T00:00:00"/>
    <d v="2025-01-30T00:00:00"/>
    <x v="2"/>
    <x v="0"/>
    <x v="0"/>
    <x v="0"/>
    <x v="3"/>
    <x v="1"/>
    <x v="4"/>
    <x v="2"/>
  </r>
  <r>
    <s v="TX500639"/>
    <x v="1"/>
    <x v="5"/>
    <x v="470"/>
    <n v="686.4"/>
    <d v="2025-01-28T00:00:00"/>
    <d v="2025-01-30T00:00:00"/>
    <x v="2"/>
    <x v="2"/>
    <x v="0"/>
    <x v="0"/>
    <x v="3"/>
    <x v="1"/>
    <x v="4"/>
    <x v="2"/>
  </r>
  <r>
    <s v="TX500640"/>
    <x v="13"/>
    <x v="11"/>
    <x v="128"/>
    <n v="327.59999999999997"/>
    <d v="2025-01-28T00:00:00"/>
    <d v="2025-01-30T00:00:00"/>
    <x v="2"/>
    <x v="0"/>
    <x v="2"/>
    <x v="0"/>
    <x v="3"/>
    <x v="1"/>
    <x v="4"/>
    <x v="2"/>
  </r>
  <r>
    <s v="TX500641"/>
    <x v="0"/>
    <x v="1"/>
    <x v="243"/>
    <n v="45"/>
    <d v="2025-01-28T00:00:00"/>
    <d v="2025-01-31T00:00:00"/>
    <x v="1"/>
    <x v="0"/>
    <x v="0"/>
    <x v="0"/>
    <x v="3"/>
    <x v="2"/>
    <x v="4"/>
    <x v="1"/>
  </r>
  <r>
    <s v="TX500642"/>
    <x v="6"/>
    <x v="12"/>
    <x v="471"/>
    <n v="283.2"/>
    <d v="2025-01-28T00:00:00"/>
    <d v="2025-01-30T00:00:00"/>
    <x v="2"/>
    <x v="4"/>
    <x v="0"/>
    <x v="0"/>
    <x v="3"/>
    <x v="1"/>
    <x v="4"/>
    <x v="2"/>
  </r>
  <r>
    <s v="TX500643"/>
    <x v="6"/>
    <x v="9"/>
    <x v="472"/>
    <n v="283"/>
    <d v="2025-01-28T00:00:00"/>
    <d v="2025-01-30T00:00:00"/>
    <x v="1"/>
    <x v="0"/>
    <x v="1"/>
    <x v="0"/>
    <x v="4"/>
    <x v="1"/>
    <x v="4"/>
    <x v="1"/>
  </r>
  <r>
    <s v="TX500644"/>
    <x v="6"/>
    <x v="1"/>
    <x v="367"/>
    <n v="95.8"/>
    <d v="2025-01-28T00:00:00"/>
    <d v="2025-01-29T00:00:00"/>
    <x v="2"/>
    <x v="0"/>
    <x v="0"/>
    <x v="0"/>
    <x v="6"/>
    <x v="3"/>
    <x v="4"/>
    <x v="2"/>
  </r>
  <r>
    <s v="TX500645"/>
    <x v="6"/>
    <x v="8"/>
    <x v="473"/>
    <n v="627.20000000000005"/>
    <d v="2025-01-28T00:00:00"/>
    <d v="2025-01-30T00:00:00"/>
    <x v="2"/>
    <x v="1"/>
    <x v="0"/>
    <x v="0"/>
    <x v="6"/>
    <x v="1"/>
    <x v="4"/>
    <x v="2"/>
  </r>
  <r>
    <s v="TX500646"/>
    <x v="2"/>
    <x v="21"/>
    <x v="474"/>
    <n v="1709.3999999999999"/>
    <d v="2025-01-28T00:00:00"/>
    <d v="2025-02-02T00:00:00"/>
    <x v="2"/>
    <x v="0"/>
    <x v="2"/>
    <x v="0"/>
    <x v="6"/>
    <x v="0"/>
    <x v="4"/>
    <x v="2"/>
  </r>
  <r>
    <s v="TX500647"/>
    <x v="2"/>
    <x v="1"/>
    <x v="371"/>
    <n v="167.4"/>
    <d v="2025-01-29T00:00:00"/>
    <d v="2025-01-29T00:00:00"/>
    <x v="0"/>
    <x v="1"/>
    <x v="2"/>
    <x v="0"/>
    <x v="7"/>
    <x v="7"/>
    <x v="4"/>
    <x v="0"/>
  </r>
  <r>
    <s v="TX500648"/>
    <x v="3"/>
    <x v="12"/>
    <x v="475"/>
    <n v="391.6"/>
    <d v="2025-01-29T00:00:00"/>
    <d v="2025-02-02T00:00:00"/>
    <x v="2"/>
    <x v="3"/>
    <x v="2"/>
    <x v="0"/>
    <x v="7"/>
    <x v="5"/>
    <x v="4"/>
    <x v="2"/>
  </r>
  <r>
    <s v="TX500649"/>
    <x v="14"/>
    <x v="0"/>
    <x v="476"/>
    <n v="15"/>
    <d v="2025-01-29T00:00:00"/>
    <d v="2025-02-03T00:00:00"/>
    <x v="2"/>
    <x v="3"/>
    <x v="0"/>
    <x v="0"/>
    <x v="8"/>
    <x v="0"/>
    <x v="4"/>
    <x v="2"/>
  </r>
  <r>
    <s v="TX500650"/>
    <x v="12"/>
    <x v="2"/>
    <x v="477"/>
    <n v="283.79999999999995"/>
    <d v="2025-01-29T00:00:00"/>
    <d v="2025-01-30T00:00:00"/>
    <x v="1"/>
    <x v="2"/>
    <x v="1"/>
    <x v="0"/>
    <x v="8"/>
    <x v="3"/>
    <x v="4"/>
    <x v="1"/>
  </r>
  <r>
    <s v="TX500651"/>
    <x v="0"/>
    <x v="13"/>
    <x v="478"/>
    <n v="118.19999999999999"/>
    <d v="2025-01-29T00:00:00"/>
    <d v="2025-02-09T00:00:00"/>
    <x v="2"/>
    <x v="0"/>
    <x v="2"/>
    <x v="0"/>
    <x v="8"/>
    <x v="11"/>
    <x v="4"/>
    <x v="2"/>
  </r>
  <r>
    <s v="TX500652"/>
    <x v="7"/>
    <x v="0"/>
    <x v="21"/>
    <n v="46.7"/>
    <d v="2025-01-29T00:00:00"/>
    <d v="2025-02-01T00:00:00"/>
    <x v="2"/>
    <x v="2"/>
    <x v="0"/>
    <x v="0"/>
    <x v="17"/>
    <x v="2"/>
    <x v="4"/>
    <x v="2"/>
  </r>
  <r>
    <s v="TX500653"/>
    <x v="1"/>
    <x v="12"/>
    <x v="280"/>
    <n v="172"/>
    <d v="2025-01-29T00:00:00"/>
    <d v="2025-01-30T00:00:00"/>
    <x v="1"/>
    <x v="2"/>
    <x v="2"/>
    <x v="0"/>
    <x v="17"/>
    <x v="3"/>
    <x v="4"/>
    <x v="1"/>
  </r>
  <r>
    <s v="TX500654"/>
    <x v="6"/>
    <x v="2"/>
    <x v="197"/>
    <n v="204.60000000000002"/>
    <d v="2025-01-29T00:00:00"/>
    <d v="2025-02-04T00:00:00"/>
    <x v="2"/>
    <x v="0"/>
    <x v="0"/>
    <x v="0"/>
    <x v="9"/>
    <x v="4"/>
    <x v="4"/>
    <x v="2"/>
  </r>
  <r>
    <s v="TX500655"/>
    <x v="10"/>
    <x v="7"/>
    <x v="51"/>
    <n v="243"/>
    <d v="2025-01-29T00:00:00"/>
    <d v="2025-01-30T00:00:00"/>
    <x v="1"/>
    <x v="0"/>
    <x v="2"/>
    <x v="0"/>
    <x v="10"/>
    <x v="3"/>
    <x v="4"/>
    <x v="1"/>
  </r>
  <r>
    <s v="TX500656"/>
    <x v="7"/>
    <x v="1"/>
    <x v="479"/>
    <n v="173.6"/>
    <d v="2025-01-29T00:00:00"/>
    <d v="2025-02-02T00:00:00"/>
    <x v="2"/>
    <x v="4"/>
    <x v="2"/>
    <x v="0"/>
    <x v="11"/>
    <x v="5"/>
    <x v="4"/>
    <x v="2"/>
  </r>
  <r>
    <s v="TX500657"/>
    <x v="0"/>
    <x v="1"/>
    <x v="35"/>
    <n v="31.6"/>
    <d v="2025-01-29T00:00:00"/>
    <d v="2025-01-31T00:00:00"/>
    <x v="1"/>
    <x v="1"/>
    <x v="0"/>
    <x v="0"/>
    <x v="11"/>
    <x v="1"/>
    <x v="4"/>
    <x v="1"/>
  </r>
  <r>
    <s v="TX500658"/>
    <x v="2"/>
    <x v="12"/>
    <x v="480"/>
    <n v="246.4"/>
    <d v="2025-01-29T00:00:00"/>
    <d v="2025-01-30T00:00:00"/>
    <x v="1"/>
    <x v="2"/>
    <x v="0"/>
    <x v="0"/>
    <x v="11"/>
    <x v="3"/>
    <x v="4"/>
    <x v="1"/>
  </r>
  <r>
    <s v="TX500659"/>
    <x v="6"/>
    <x v="2"/>
    <x v="242"/>
    <n v="146.10000000000002"/>
    <d v="2025-01-29T00:00:00"/>
    <d v="2025-02-04T00:00:00"/>
    <x v="2"/>
    <x v="1"/>
    <x v="2"/>
    <x v="0"/>
    <x v="45"/>
    <x v="4"/>
    <x v="4"/>
    <x v="2"/>
  </r>
  <r>
    <s v="TX500660"/>
    <x v="8"/>
    <x v="12"/>
    <x v="51"/>
    <n v="97.2"/>
    <d v="2025-01-29T00:00:00"/>
    <d v="2025-01-31T00:00:00"/>
    <x v="2"/>
    <x v="1"/>
    <x v="2"/>
    <x v="0"/>
    <x v="21"/>
    <x v="1"/>
    <x v="4"/>
    <x v="2"/>
  </r>
  <r>
    <s v="TX500661"/>
    <x v="2"/>
    <x v="1"/>
    <x v="481"/>
    <n v="261.39999999999998"/>
    <d v="2025-01-29T00:00:00"/>
    <d v="2025-01-30T00:00:00"/>
    <x v="2"/>
    <x v="2"/>
    <x v="0"/>
    <x v="0"/>
    <x v="44"/>
    <x v="3"/>
    <x v="4"/>
    <x v="2"/>
  </r>
  <r>
    <s v="TX500662"/>
    <x v="10"/>
    <x v="0"/>
    <x v="269"/>
    <n v="26"/>
    <d v="2025-01-29T00:00:00"/>
    <d v="2025-01-31T00:00:00"/>
    <x v="1"/>
    <x v="0"/>
    <x v="0"/>
    <x v="0"/>
    <x v="3"/>
    <x v="1"/>
    <x v="4"/>
    <x v="1"/>
  </r>
  <r>
    <s v="TX500663"/>
    <x v="2"/>
    <x v="9"/>
    <x v="482"/>
    <n v="472"/>
    <d v="2025-01-29T00:00:00"/>
    <d v="2025-01-30T00:00:00"/>
    <x v="2"/>
    <x v="0"/>
    <x v="0"/>
    <x v="0"/>
    <x v="3"/>
    <x v="3"/>
    <x v="4"/>
    <x v="2"/>
  </r>
  <r>
    <s v="TX500664"/>
    <x v="0"/>
    <x v="13"/>
    <x v="483"/>
    <n v="142.19999999999999"/>
    <d v="2025-01-29T00:00:00"/>
    <d v="2025-01-31T00:00:00"/>
    <x v="1"/>
    <x v="2"/>
    <x v="2"/>
    <x v="0"/>
    <x v="3"/>
    <x v="1"/>
    <x v="4"/>
    <x v="1"/>
  </r>
  <r>
    <s v="TX500665"/>
    <x v="9"/>
    <x v="4"/>
    <x v="484"/>
    <n v="448.79999999999995"/>
    <d v="2025-01-29T00:00:00"/>
    <d v="2025-01-31T00:00:00"/>
    <x v="1"/>
    <x v="2"/>
    <x v="0"/>
    <x v="0"/>
    <x v="3"/>
    <x v="1"/>
    <x v="4"/>
    <x v="1"/>
  </r>
  <r>
    <s v="TX500666"/>
    <x v="1"/>
    <x v="34"/>
    <x v="204"/>
    <n v="1987.2"/>
    <d v="2025-01-29T00:00:00"/>
    <d v="2025-01-29T00:00:00"/>
    <x v="2"/>
    <x v="3"/>
    <x v="1"/>
    <x v="0"/>
    <x v="3"/>
    <x v="7"/>
    <x v="4"/>
    <x v="2"/>
  </r>
  <r>
    <s v="TX500667"/>
    <x v="2"/>
    <x v="11"/>
    <x v="140"/>
    <n v="513.9"/>
    <d v="2025-01-29T00:00:00"/>
    <d v="2025-01-31T00:00:00"/>
    <x v="1"/>
    <x v="0"/>
    <x v="2"/>
    <x v="0"/>
    <x v="3"/>
    <x v="1"/>
    <x v="4"/>
    <x v="1"/>
  </r>
  <r>
    <s v="TX500668"/>
    <x v="12"/>
    <x v="0"/>
    <x v="6"/>
    <n v="55.3"/>
    <d v="2025-01-29T00:00:00"/>
    <d v="2025-01-30T00:00:00"/>
    <x v="2"/>
    <x v="2"/>
    <x v="2"/>
    <x v="0"/>
    <x v="3"/>
    <x v="3"/>
    <x v="4"/>
    <x v="2"/>
  </r>
  <r>
    <s v="TX500669"/>
    <x v="15"/>
    <x v="3"/>
    <x v="273"/>
    <n v="167.29999999999998"/>
    <d v="2025-01-29T00:00:00"/>
    <d v="2025-01-30T00:00:00"/>
    <x v="2"/>
    <x v="4"/>
    <x v="1"/>
    <x v="0"/>
    <x v="3"/>
    <x v="3"/>
    <x v="4"/>
    <x v="2"/>
  </r>
  <r>
    <s v="TX500670"/>
    <x v="0"/>
    <x v="0"/>
    <x v="268"/>
    <n v="34.1"/>
    <d v="2025-01-29T00:00:00"/>
    <d v="2025-02-05T00:00:00"/>
    <x v="2"/>
    <x v="2"/>
    <x v="0"/>
    <x v="0"/>
    <x v="3"/>
    <x v="6"/>
    <x v="4"/>
    <x v="2"/>
  </r>
  <r>
    <s v="TX500671"/>
    <x v="12"/>
    <x v="12"/>
    <x v="153"/>
    <n v="154"/>
    <d v="2025-01-29T00:00:00"/>
    <d v="2025-02-09T00:00:00"/>
    <x v="2"/>
    <x v="0"/>
    <x v="0"/>
    <x v="0"/>
    <x v="3"/>
    <x v="11"/>
    <x v="4"/>
    <x v="2"/>
  </r>
  <r>
    <s v="TX500672"/>
    <x v="7"/>
    <x v="1"/>
    <x v="485"/>
    <n v="210"/>
    <d v="2025-01-29T00:00:00"/>
    <d v="2025-02-04T00:00:00"/>
    <x v="2"/>
    <x v="0"/>
    <x v="2"/>
    <x v="0"/>
    <x v="3"/>
    <x v="4"/>
    <x v="4"/>
    <x v="2"/>
  </r>
  <r>
    <s v="TX500673"/>
    <x v="8"/>
    <x v="9"/>
    <x v="291"/>
    <n v="226"/>
    <d v="2025-01-29T00:00:00"/>
    <d v="2025-01-31T00:00:00"/>
    <x v="2"/>
    <x v="0"/>
    <x v="2"/>
    <x v="0"/>
    <x v="3"/>
    <x v="1"/>
    <x v="4"/>
    <x v="2"/>
  </r>
  <r>
    <s v="TX500674"/>
    <x v="17"/>
    <x v="2"/>
    <x v="486"/>
    <n v="74.400000000000006"/>
    <d v="2025-01-29T00:00:00"/>
    <d v="2025-01-29T00:00:00"/>
    <x v="0"/>
    <x v="0"/>
    <x v="1"/>
    <x v="0"/>
    <x v="3"/>
    <x v="7"/>
    <x v="4"/>
    <x v="0"/>
  </r>
  <r>
    <s v="TX500675"/>
    <x v="11"/>
    <x v="12"/>
    <x v="20"/>
    <n v="175.2"/>
    <d v="2025-01-29T00:00:00"/>
    <d v="2025-02-05T00:00:00"/>
    <x v="2"/>
    <x v="1"/>
    <x v="2"/>
    <x v="0"/>
    <x v="6"/>
    <x v="6"/>
    <x v="4"/>
    <x v="2"/>
  </r>
  <r>
    <s v="TX500676"/>
    <x v="1"/>
    <x v="0"/>
    <x v="487"/>
    <n v="75"/>
    <d v="2025-01-29T00:00:00"/>
    <d v="2025-01-31T00:00:00"/>
    <x v="2"/>
    <x v="4"/>
    <x v="1"/>
    <x v="0"/>
    <x v="6"/>
    <x v="1"/>
    <x v="4"/>
    <x v="2"/>
  </r>
  <r>
    <s v="TX500677"/>
    <x v="2"/>
    <x v="0"/>
    <x v="488"/>
    <n v="169.9"/>
    <d v="2025-01-29T00:00:00"/>
    <d v="2025-01-30T00:00:00"/>
    <x v="1"/>
    <x v="2"/>
    <x v="0"/>
    <x v="0"/>
    <x v="6"/>
    <x v="3"/>
    <x v="4"/>
    <x v="1"/>
  </r>
  <r>
    <s v="TX500678"/>
    <x v="9"/>
    <x v="1"/>
    <x v="489"/>
    <n v="144.4"/>
    <d v="2025-01-29T00:00:00"/>
    <d v="2025-01-31T00:00:00"/>
    <x v="2"/>
    <x v="4"/>
    <x v="1"/>
    <x v="0"/>
    <x v="6"/>
    <x v="1"/>
    <x v="4"/>
    <x v="2"/>
  </r>
  <r>
    <s v="TX500679"/>
    <x v="0"/>
    <x v="0"/>
    <x v="490"/>
    <n v="20"/>
    <d v="2025-01-30T00:00:00"/>
    <d v="2025-02-02T00:00:00"/>
    <x v="2"/>
    <x v="2"/>
    <x v="1"/>
    <x v="0"/>
    <x v="7"/>
    <x v="2"/>
    <x v="4"/>
    <x v="2"/>
  </r>
  <r>
    <s v="TX500680"/>
    <x v="9"/>
    <x v="1"/>
    <x v="363"/>
    <n v="81.599999999999994"/>
    <d v="2025-01-30T00:00:00"/>
    <d v="2025-02-01T00:00:00"/>
    <x v="2"/>
    <x v="3"/>
    <x v="2"/>
    <x v="0"/>
    <x v="8"/>
    <x v="1"/>
    <x v="4"/>
    <x v="2"/>
  </r>
  <r>
    <s v="TX500681"/>
    <x v="10"/>
    <x v="12"/>
    <x v="491"/>
    <n v="232"/>
    <d v="2025-01-30T00:00:00"/>
    <d v="2025-02-03T00:00:00"/>
    <x v="2"/>
    <x v="0"/>
    <x v="0"/>
    <x v="0"/>
    <x v="8"/>
    <x v="5"/>
    <x v="4"/>
    <x v="2"/>
  </r>
  <r>
    <s v="TX500682"/>
    <x v="12"/>
    <x v="1"/>
    <x v="39"/>
    <n v="86.2"/>
    <d v="2025-01-30T00:00:00"/>
    <d v="2025-01-31T00:00:00"/>
    <x v="2"/>
    <x v="1"/>
    <x v="2"/>
    <x v="0"/>
    <x v="8"/>
    <x v="3"/>
    <x v="4"/>
    <x v="2"/>
  </r>
  <r>
    <s v="TX500683"/>
    <x v="6"/>
    <x v="11"/>
    <x v="492"/>
    <n v="672.30000000000007"/>
    <d v="2025-01-30T00:00:00"/>
    <d v="2025-02-01T00:00:00"/>
    <x v="1"/>
    <x v="0"/>
    <x v="2"/>
    <x v="0"/>
    <x v="8"/>
    <x v="1"/>
    <x v="4"/>
    <x v="1"/>
  </r>
  <r>
    <s v="TX500684"/>
    <x v="6"/>
    <x v="0"/>
    <x v="493"/>
    <n v="128.19999999999999"/>
    <d v="2025-01-30T00:00:00"/>
    <d v="2025-01-30T00:00:00"/>
    <x v="1"/>
    <x v="1"/>
    <x v="0"/>
    <x v="0"/>
    <x v="8"/>
    <x v="7"/>
    <x v="4"/>
    <x v="1"/>
  </r>
  <r>
    <s v="TX500685"/>
    <x v="14"/>
    <x v="12"/>
    <x v="494"/>
    <n v="106.8"/>
    <d v="2025-01-30T00:00:00"/>
    <d v="2025-01-31T00:00:00"/>
    <x v="1"/>
    <x v="1"/>
    <x v="0"/>
    <x v="0"/>
    <x v="8"/>
    <x v="3"/>
    <x v="4"/>
    <x v="1"/>
  </r>
  <r>
    <s v="TX500686"/>
    <x v="17"/>
    <x v="13"/>
    <x v="217"/>
    <n v="189"/>
    <d v="2025-01-30T00:00:00"/>
    <d v="2025-01-31T00:00:00"/>
    <x v="2"/>
    <x v="2"/>
    <x v="0"/>
    <x v="0"/>
    <x v="17"/>
    <x v="3"/>
    <x v="4"/>
    <x v="2"/>
  </r>
  <r>
    <s v="TX500687"/>
    <x v="3"/>
    <x v="3"/>
    <x v="337"/>
    <n v="452.90000000000003"/>
    <d v="2025-01-30T00:00:00"/>
    <d v="2025-01-31T00:00:00"/>
    <x v="2"/>
    <x v="0"/>
    <x v="2"/>
    <x v="0"/>
    <x v="9"/>
    <x v="3"/>
    <x v="4"/>
    <x v="2"/>
  </r>
  <r>
    <s v="TX500688"/>
    <x v="5"/>
    <x v="1"/>
    <x v="495"/>
    <n v="111.2"/>
    <d v="2025-01-30T00:00:00"/>
    <d v="2025-02-02T00:00:00"/>
    <x v="2"/>
    <x v="3"/>
    <x v="0"/>
    <x v="0"/>
    <x v="11"/>
    <x v="2"/>
    <x v="4"/>
    <x v="2"/>
  </r>
  <r>
    <s v="TX500689"/>
    <x v="3"/>
    <x v="1"/>
    <x v="310"/>
    <n v="72.400000000000006"/>
    <d v="2025-01-30T00:00:00"/>
    <d v="2025-01-31T00:00:00"/>
    <x v="2"/>
    <x v="3"/>
    <x v="0"/>
    <x v="0"/>
    <x v="11"/>
    <x v="3"/>
    <x v="4"/>
    <x v="2"/>
  </r>
  <r>
    <s v="TX500690"/>
    <x v="0"/>
    <x v="0"/>
    <x v="439"/>
    <n v="26.6"/>
    <d v="2025-01-30T00:00:00"/>
    <d v="2025-01-31T00:00:00"/>
    <x v="0"/>
    <x v="1"/>
    <x v="1"/>
    <x v="0"/>
    <x v="19"/>
    <x v="3"/>
    <x v="4"/>
    <x v="0"/>
  </r>
  <r>
    <s v="TX500691"/>
    <x v="10"/>
    <x v="12"/>
    <x v="217"/>
    <n v="126"/>
    <d v="2025-01-30T00:00:00"/>
    <d v="2025-02-01T00:00:00"/>
    <x v="1"/>
    <x v="0"/>
    <x v="0"/>
    <x v="0"/>
    <x v="31"/>
    <x v="1"/>
    <x v="4"/>
    <x v="1"/>
  </r>
  <r>
    <s v="TX500692"/>
    <x v="10"/>
    <x v="0"/>
    <x v="49"/>
    <n v="27"/>
    <d v="2025-01-30T00:00:00"/>
    <d v="2025-02-01T00:00:00"/>
    <x v="2"/>
    <x v="1"/>
    <x v="2"/>
    <x v="0"/>
    <x v="13"/>
    <x v="1"/>
    <x v="4"/>
    <x v="2"/>
  </r>
  <r>
    <s v="TX500693"/>
    <x v="4"/>
    <x v="0"/>
    <x v="34"/>
    <n v="32"/>
    <d v="2025-01-30T00:00:00"/>
    <d v="2025-02-02T00:00:00"/>
    <x v="1"/>
    <x v="3"/>
    <x v="0"/>
    <x v="0"/>
    <x v="21"/>
    <x v="2"/>
    <x v="4"/>
    <x v="1"/>
  </r>
  <r>
    <s v="TX500694"/>
    <x v="1"/>
    <x v="2"/>
    <x v="142"/>
    <n v="144.30000000000001"/>
    <d v="2025-01-30T00:00:00"/>
    <d v="2025-02-01T00:00:00"/>
    <x v="1"/>
    <x v="2"/>
    <x v="1"/>
    <x v="0"/>
    <x v="1"/>
    <x v="1"/>
    <x v="4"/>
    <x v="1"/>
  </r>
  <r>
    <s v="TX500695"/>
    <x v="9"/>
    <x v="1"/>
    <x v="171"/>
    <n v="86.8"/>
    <d v="2025-01-30T00:00:00"/>
    <d v="2025-01-31T00:00:00"/>
    <x v="1"/>
    <x v="1"/>
    <x v="1"/>
    <x v="0"/>
    <x v="22"/>
    <x v="3"/>
    <x v="4"/>
    <x v="1"/>
  </r>
  <r>
    <s v="TX500696"/>
    <x v="6"/>
    <x v="1"/>
    <x v="325"/>
    <n v="85.2"/>
    <d v="2025-01-30T00:00:00"/>
    <d v="2025-02-02T00:00:00"/>
    <x v="2"/>
    <x v="3"/>
    <x v="0"/>
    <x v="0"/>
    <x v="22"/>
    <x v="2"/>
    <x v="4"/>
    <x v="2"/>
  </r>
  <r>
    <s v="TX500697"/>
    <x v="8"/>
    <x v="1"/>
    <x v="496"/>
    <n v="31.8"/>
    <d v="2025-01-30T00:00:00"/>
    <d v="2025-01-31T00:00:00"/>
    <x v="2"/>
    <x v="0"/>
    <x v="0"/>
    <x v="0"/>
    <x v="34"/>
    <x v="3"/>
    <x v="4"/>
    <x v="2"/>
  </r>
  <r>
    <s v="TX500698"/>
    <x v="9"/>
    <x v="1"/>
    <x v="56"/>
    <n v="126.4"/>
    <d v="2025-01-30T00:00:00"/>
    <d v="2025-01-31T00:00:00"/>
    <x v="1"/>
    <x v="1"/>
    <x v="0"/>
    <x v="0"/>
    <x v="3"/>
    <x v="3"/>
    <x v="4"/>
    <x v="1"/>
  </r>
  <r>
    <s v="TX500699"/>
    <x v="7"/>
    <x v="12"/>
    <x v="497"/>
    <n v="259.2"/>
    <d v="2025-01-30T00:00:00"/>
    <d v="2025-02-01T00:00:00"/>
    <x v="0"/>
    <x v="4"/>
    <x v="1"/>
    <x v="0"/>
    <x v="3"/>
    <x v="1"/>
    <x v="4"/>
    <x v="0"/>
  </r>
  <r>
    <s v="TX500700"/>
    <x v="7"/>
    <x v="2"/>
    <x v="304"/>
    <n v="239.39999999999998"/>
    <d v="2025-01-30T00:00:00"/>
    <d v="2025-01-31T00:00:00"/>
    <x v="1"/>
    <x v="0"/>
    <x v="0"/>
    <x v="0"/>
    <x v="3"/>
    <x v="3"/>
    <x v="4"/>
    <x v="1"/>
  </r>
  <r>
    <s v="TX500701"/>
    <x v="9"/>
    <x v="0"/>
    <x v="10"/>
    <n v="54.4"/>
    <d v="2025-01-30T00:00:00"/>
    <d v="2025-02-01T00:00:00"/>
    <x v="2"/>
    <x v="4"/>
    <x v="2"/>
    <x v="0"/>
    <x v="3"/>
    <x v="1"/>
    <x v="4"/>
    <x v="2"/>
  </r>
  <r>
    <s v="TX500702"/>
    <x v="6"/>
    <x v="0"/>
    <x v="317"/>
    <n v="87.3"/>
    <d v="2025-01-30T00:00:00"/>
    <d v="2025-01-31T00:00:00"/>
    <x v="1"/>
    <x v="1"/>
    <x v="0"/>
    <x v="0"/>
    <x v="3"/>
    <x v="3"/>
    <x v="4"/>
    <x v="1"/>
  </r>
  <r>
    <s v="TX500703"/>
    <x v="8"/>
    <x v="12"/>
    <x v="498"/>
    <n v="129.6"/>
    <d v="2025-01-30T00:00:00"/>
    <d v="2025-01-30T00:00:00"/>
    <x v="1"/>
    <x v="1"/>
    <x v="0"/>
    <x v="0"/>
    <x v="3"/>
    <x v="7"/>
    <x v="4"/>
    <x v="1"/>
  </r>
  <r>
    <s v="TX500704"/>
    <x v="2"/>
    <x v="0"/>
    <x v="499"/>
    <n v="177.4"/>
    <d v="2025-01-30T00:00:00"/>
    <d v="2025-02-03T00:00:00"/>
    <x v="1"/>
    <x v="0"/>
    <x v="2"/>
    <x v="0"/>
    <x v="3"/>
    <x v="5"/>
    <x v="4"/>
    <x v="1"/>
  </r>
  <r>
    <s v="TX500705"/>
    <x v="7"/>
    <x v="1"/>
    <x v="163"/>
    <n v="140.19999999999999"/>
    <d v="2025-01-30T00:00:00"/>
    <d v="2025-01-31T00:00:00"/>
    <x v="1"/>
    <x v="3"/>
    <x v="1"/>
    <x v="0"/>
    <x v="3"/>
    <x v="3"/>
    <x v="4"/>
    <x v="1"/>
  </r>
  <r>
    <s v="TX500706"/>
    <x v="9"/>
    <x v="13"/>
    <x v="18"/>
    <n v="306.60000000000002"/>
    <d v="2025-01-30T00:00:00"/>
    <d v="2025-01-31T00:00:00"/>
    <x v="2"/>
    <x v="0"/>
    <x v="0"/>
    <x v="0"/>
    <x v="3"/>
    <x v="3"/>
    <x v="4"/>
    <x v="2"/>
  </r>
  <r>
    <s v="TX500707"/>
    <x v="2"/>
    <x v="9"/>
    <x v="22"/>
    <n v="399.5"/>
    <d v="2025-01-30T00:00:00"/>
    <d v="2025-02-01T00:00:00"/>
    <x v="1"/>
    <x v="3"/>
    <x v="2"/>
    <x v="0"/>
    <x v="24"/>
    <x v="1"/>
    <x v="4"/>
    <x v="1"/>
  </r>
  <r>
    <s v="TX500708"/>
    <x v="6"/>
    <x v="0"/>
    <x v="222"/>
    <n v="57.6"/>
    <d v="2025-01-31T00:00:00"/>
    <d v="2025-02-05T00:00:00"/>
    <x v="1"/>
    <x v="0"/>
    <x v="2"/>
    <x v="0"/>
    <x v="49"/>
    <x v="0"/>
    <x v="4"/>
    <x v="1"/>
  </r>
  <r>
    <s v="TX500709"/>
    <x v="8"/>
    <x v="7"/>
    <x v="115"/>
    <n v="597"/>
    <d v="2025-01-31T00:00:00"/>
    <d v="2025-02-04T00:00:00"/>
    <x v="1"/>
    <x v="2"/>
    <x v="0"/>
    <x v="0"/>
    <x v="25"/>
    <x v="5"/>
    <x v="4"/>
    <x v="1"/>
  </r>
  <r>
    <s v="TX500710"/>
    <x v="8"/>
    <x v="9"/>
    <x v="500"/>
    <n v="150"/>
    <d v="2025-01-31T00:00:00"/>
    <d v="2025-02-02T00:00:00"/>
    <x v="1"/>
    <x v="1"/>
    <x v="0"/>
    <x v="0"/>
    <x v="6"/>
    <x v="1"/>
    <x v="4"/>
    <x v="1"/>
  </r>
  <r>
    <s v="TX500711"/>
    <x v="10"/>
    <x v="1"/>
    <x v="62"/>
    <n v="138.4"/>
    <d v="2025-01-31T00:00:00"/>
    <d v="2025-02-02T00:00:00"/>
    <x v="0"/>
    <x v="2"/>
    <x v="1"/>
    <x v="0"/>
    <x v="6"/>
    <x v="1"/>
    <x v="4"/>
    <x v="0"/>
  </r>
  <r>
    <s v="TX500712"/>
    <x v="0"/>
    <x v="8"/>
    <x v="0"/>
    <n v="87.2"/>
    <d v="2025-01-31T00:00:00"/>
    <d v="2025-02-01T00:00:00"/>
    <x v="2"/>
    <x v="0"/>
    <x v="2"/>
    <x v="0"/>
    <x v="6"/>
    <x v="3"/>
    <x v="4"/>
    <x v="2"/>
  </r>
  <r>
    <s v="TX500713"/>
    <x v="16"/>
    <x v="1"/>
    <x v="379"/>
    <n v="97.2"/>
    <d v="2025-01-31T00:00:00"/>
    <d v="2025-02-04T00:00:00"/>
    <x v="1"/>
    <x v="1"/>
    <x v="2"/>
    <x v="0"/>
    <x v="6"/>
    <x v="5"/>
    <x v="4"/>
    <x v="1"/>
  </r>
  <r>
    <s v="TX500714"/>
    <x v="2"/>
    <x v="1"/>
    <x v="501"/>
    <n v="122.2"/>
    <d v="2025-01-31T00:00:00"/>
    <d v="2025-02-03T00:00:00"/>
    <x v="2"/>
    <x v="1"/>
    <x v="2"/>
    <x v="0"/>
    <x v="7"/>
    <x v="2"/>
    <x v="4"/>
    <x v="2"/>
  </r>
  <r>
    <s v="TX500715"/>
    <x v="8"/>
    <x v="1"/>
    <x v="372"/>
    <n v="46.4"/>
    <d v="2025-01-31T00:00:00"/>
    <d v="2025-02-01T00:00:00"/>
    <x v="1"/>
    <x v="3"/>
    <x v="2"/>
    <x v="0"/>
    <x v="8"/>
    <x v="3"/>
    <x v="4"/>
    <x v="1"/>
  </r>
  <r>
    <s v="TX500716"/>
    <x v="12"/>
    <x v="12"/>
    <x v="502"/>
    <n v="223.2"/>
    <d v="2025-01-31T00:00:00"/>
    <d v="2025-02-01T00:00:00"/>
    <x v="1"/>
    <x v="0"/>
    <x v="0"/>
    <x v="0"/>
    <x v="8"/>
    <x v="3"/>
    <x v="4"/>
    <x v="1"/>
  </r>
  <r>
    <s v="TX500717"/>
    <x v="9"/>
    <x v="12"/>
    <x v="486"/>
    <n v="99.2"/>
    <d v="2025-01-31T00:00:00"/>
    <d v="2025-02-01T00:00:00"/>
    <x v="2"/>
    <x v="0"/>
    <x v="2"/>
    <x v="0"/>
    <x v="8"/>
    <x v="3"/>
    <x v="4"/>
    <x v="2"/>
  </r>
  <r>
    <s v="TX500718"/>
    <x v="10"/>
    <x v="1"/>
    <x v="343"/>
    <n v="55.8"/>
    <d v="2025-01-31T00:00:00"/>
    <d v="2025-01-31T00:00:00"/>
    <x v="1"/>
    <x v="2"/>
    <x v="2"/>
    <x v="0"/>
    <x v="8"/>
    <x v="7"/>
    <x v="4"/>
    <x v="1"/>
  </r>
  <r>
    <s v="TX500719"/>
    <x v="10"/>
    <x v="13"/>
    <x v="18"/>
    <n v="306.60000000000002"/>
    <d v="2025-01-31T00:00:00"/>
    <d v="2025-01-31T00:00:00"/>
    <x v="2"/>
    <x v="3"/>
    <x v="0"/>
    <x v="0"/>
    <x v="8"/>
    <x v="7"/>
    <x v="4"/>
    <x v="2"/>
  </r>
  <r>
    <s v="TX500720"/>
    <x v="17"/>
    <x v="5"/>
    <x v="195"/>
    <n v="359.70000000000005"/>
    <d v="2025-01-31T00:00:00"/>
    <d v="2025-02-01T00:00:00"/>
    <x v="1"/>
    <x v="4"/>
    <x v="2"/>
    <x v="0"/>
    <x v="17"/>
    <x v="3"/>
    <x v="4"/>
    <x v="1"/>
  </r>
  <r>
    <s v="TX500721"/>
    <x v="8"/>
    <x v="12"/>
    <x v="243"/>
    <n v="90"/>
    <d v="2025-01-31T00:00:00"/>
    <d v="2025-01-31T00:00:00"/>
    <x v="1"/>
    <x v="0"/>
    <x v="2"/>
    <x v="0"/>
    <x v="26"/>
    <x v="7"/>
    <x v="4"/>
    <x v="1"/>
  </r>
  <r>
    <s v="TX500722"/>
    <x v="0"/>
    <x v="3"/>
    <x v="503"/>
    <n v="102.2"/>
    <d v="2025-01-31T00:00:00"/>
    <d v="2025-02-01T00:00:00"/>
    <x v="2"/>
    <x v="2"/>
    <x v="0"/>
    <x v="0"/>
    <x v="41"/>
    <x v="3"/>
    <x v="4"/>
    <x v="2"/>
  </r>
  <r>
    <s v="TX500723"/>
    <x v="5"/>
    <x v="2"/>
    <x v="504"/>
    <n v="97.5"/>
    <d v="2025-01-31T00:00:00"/>
    <d v="2025-02-03T00:00:00"/>
    <x v="1"/>
    <x v="0"/>
    <x v="0"/>
    <x v="0"/>
    <x v="10"/>
    <x v="2"/>
    <x v="4"/>
    <x v="1"/>
  </r>
  <r>
    <s v="TX500724"/>
    <x v="18"/>
    <x v="0"/>
    <x v="505"/>
    <n v="78.099999999999994"/>
    <d v="2025-01-31T00:00:00"/>
    <d v="2025-02-03T00:00:00"/>
    <x v="1"/>
    <x v="0"/>
    <x v="2"/>
    <x v="0"/>
    <x v="11"/>
    <x v="2"/>
    <x v="4"/>
    <x v="1"/>
  </r>
  <r>
    <s v="TX500725"/>
    <x v="12"/>
    <x v="13"/>
    <x v="506"/>
    <n v="661.2"/>
    <d v="2025-01-31T00:00:00"/>
    <d v="2025-01-31T00:00:00"/>
    <x v="1"/>
    <x v="1"/>
    <x v="4"/>
    <x v="0"/>
    <x v="13"/>
    <x v="7"/>
    <x v="4"/>
    <x v="1"/>
  </r>
  <r>
    <s v="TX500726"/>
    <x v="6"/>
    <x v="2"/>
    <x v="507"/>
    <n v="258.89999999999998"/>
    <d v="2025-01-31T00:00:00"/>
    <d v="2025-02-02T00:00:00"/>
    <x v="2"/>
    <x v="3"/>
    <x v="0"/>
    <x v="0"/>
    <x v="21"/>
    <x v="1"/>
    <x v="4"/>
    <x v="2"/>
  </r>
  <r>
    <s v="TX500727"/>
    <x v="1"/>
    <x v="13"/>
    <x v="508"/>
    <n v="441.59999999999997"/>
    <d v="2025-01-31T00:00:00"/>
    <d v="2025-02-02T00:00:00"/>
    <x v="3"/>
    <x v="3"/>
    <x v="4"/>
    <x v="0"/>
    <x v="44"/>
    <x v="1"/>
    <x v="4"/>
    <x v="3"/>
  </r>
  <r>
    <s v="TX500728"/>
    <x v="6"/>
    <x v="15"/>
    <x v="509"/>
    <n v="880.1"/>
    <d v="2025-01-31T00:00:00"/>
    <d v="2025-02-02T00:00:00"/>
    <x v="2"/>
    <x v="0"/>
    <x v="2"/>
    <x v="0"/>
    <x v="3"/>
    <x v="1"/>
    <x v="4"/>
    <x v="2"/>
  </r>
  <r>
    <s v="TX500729"/>
    <x v="7"/>
    <x v="13"/>
    <x v="510"/>
    <n v="853.19999999999993"/>
    <d v="2025-01-31T00:00:00"/>
    <d v="2025-02-01T00:00:00"/>
    <x v="2"/>
    <x v="2"/>
    <x v="4"/>
    <x v="0"/>
    <x v="3"/>
    <x v="3"/>
    <x v="4"/>
    <x v="2"/>
  </r>
  <r>
    <s v="TX500730"/>
    <x v="1"/>
    <x v="11"/>
    <x v="511"/>
    <n v="412.2"/>
    <d v="2025-01-31T00:00:00"/>
    <d v="2025-02-02T00:00:00"/>
    <x v="2"/>
    <x v="1"/>
    <x v="2"/>
    <x v="0"/>
    <x v="3"/>
    <x v="1"/>
    <x v="4"/>
    <x v="2"/>
  </r>
  <r>
    <s v="TX500731"/>
    <x v="10"/>
    <x v="1"/>
    <x v="512"/>
    <n v="48.4"/>
    <d v="2025-02-01T00:00:00"/>
    <d v="2025-02-04T00:00:00"/>
    <x v="2"/>
    <x v="3"/>
    <x v="2"/>
    <x v="0"/>
    <x v="3"/>
    <x v="2"/>
    <x v="4"/>
    <x v="2"/>
  </r>
  <r>
    <s v="TX500732"/>
    <x v="2"/>
    <x v="2"/>
    <x v="513"/>
    <n v="434.70000000000005"/>
    <d v="2025-02-01T00:00:00"/>
    <d v="2025-02-02T00:00:00"/>
    <x v="3"/>
    <x v="2"/>
    <x v="2"/>
    <x v="0"/>
    <x v="3"/>
    <x v="3"/>
    <x v="4"/>
    <x v="3"/>
  </r>
  <r>
    <s v="TX500733"/>
    <x v="11"/>
    <x v="9"/>
    <x v="413"/>
    <n v="164"/>
    <d v="2025-02-01T00:00:00"/>
    <d v="2025-02-04T00:00:00"/>
    <x v="2"/>
    <x v="2"/>
    <x v="0"/>
    <x v="0"/>
    <x v="23"/>
    <x v="2"/>
    <x v="4"/>
    <x v="2"/>
  </r>
  <r>
    <s v="TX500734"/>
    <x v="7"/>
    <x v="7"/>
    <x v="8"/>
    <n v="357"/>
    <d v="2025-02-01T00:00:00"/>
    <d v="2025-02-01T00:00:00"/>
    <x v="2"/>
    <x v="0"/>
    <x v="1"/>
    <x v="0"/>
    <x v="6"/>
    <x v="7"/>
    <x v="4"/>
    <x v="2"/>
  </r>
  <r>
    <s v="TX500735"/>
    <x v="9"/>
    <x v="1"/>
    <x v="514"/>
    <n v="109.2"/>
    <d v="2025-02-01T00:00:00"/>
    <d v="2025-02-02T00:00:00"/>
    <x v="2"/>
    <x v="2"/>
    <x v="0"/>
    <x v="0"/>
    <x v="6"/>
    <x v="3"/>
    <x v="4"/>
    <x v="2"/>
  </r>
  <r>
    <s v="TX500736"/>
    <x v="8"/>
    <x v="1"/>
    <x v="8"/>
    <n v="71.400000000000006"/>
    <d v="2025-02-01T00:00:00"/>
    <d v="2025-02-04T00:00:00"/>
    <x v="0"/>
    <x v="0"/>
    <x v="1"/>
    <x v="0"/>
    <x v="6"/>
    <x v="2"/>
    <x v="4"/>
    <x v="0"/>
  </r>
  <r>
    <s v="TX500737"/>
    <x v="10"/>
    <x v="1"/>
    <x v="515"/>
    <n v="104.8"/>
    <d v="2025-02-01T00:00:00"/>
    <d v="2025-02-01T00:00:00"/>
    <x v="2"/>
    <x v="0"/>
    <x v="3"/>
    <x v="0"/>
    <x v="6"/>
    <x v="7"/>
    <x v="4"/>
    <x v="2"/>
  </r>
  <r>
    <s v="TX500738"/>
    <x v="8"/>
    <x v="21"/>
    <x v="261"/>
    <n v="226.79999999999998"/>
    <d v="2025-02-01T00:00:00"/>
    <d v="2025-02-02T00:00:00"/>
    <x v="0"/>
    <x v="0"/>
    <x v="1"/>
    <x v="0"/>
    <x v="8"/>
    <x v="3"/>
    <x v="4"/>
    <x v="0"/>
  </r>
  <r>
    <s v="TX500739"/>
    <x v="6"/>
    <x v="35"/>
    <x v="443"/>
    <n v="2011.6"/>
    <d v="2025-02-01T00:00:00"/>
    <d v="2025-02-02T00:00:00"/>
    <x v="2"/>
    <x v="0"/>
    <x v="0"/>
    <x v="0"/>
    <x v="8"/>
    <x v="3"/>
    <x v="4"/>
    <x v="2"/>
  </r>
  <r>
    <s v="TX500740"/>
    <x v="6"/>
    <x v="11"/>
    <x v="516"/>
    <n v="1299.6000000000001"/>
    <d v="2025-02-01T00:00:00"/>
    <d v="2025-02-04T00:00:00"/>
    <x v="2"/>
    <x v="4"/>
    <x v="0"/>
    <x v="0"/>
    <x v="8"/>
    <x v="2"/>
    <x v="4"/>
    <x v="2"/>
  </r>
  <r>
    <s v="TX500741"/>
    <x v="3"/>
    <x v="34"/>
    <x v="1"/>
    <n v="1101.6000000000001"/>
    <d v="2025-02-01T00:00:00"/>
    <d v="2025-02-05T00:00:00"/>
    <x v="2"/>
    <x v="2"/>
    <x v="2"/>
    <x v="0"/>
    <x v="11"/>
    <x v="5"/>
    <x v="4"/>
    <x v="2"/>
  </r>
  <r>
    <s v="TX500742"/>
    <x v="2"/>
    <x v="1"/>
    <x v="517"/>
    <n v="235"/>
    <d v="2025-02-01T00:00:00"/>
    <d v="2025-02-02T00:00:00"/>
    <x v="1"/>
    <x v="0"/>
    <x v="0"/>
    <x v="0"/>
    <x v="19"/>
    <x v="3"/>
    <x v="4"/>
    <x v="1"/>
  </r>
  <r>
    <s v="TX500743"/>
    <x v="6"/>
    <x v="1"/>
    <x v="518"/>
    <n v="211.4"/>
    <d v="2025-02-01T00:00:00"/>
    <d v="2025-02-02T00:00:00"/>
    <x v="2"/>
    <x v="2"/>
    <x v="2"/>
    <x v="0"/>
    <x v="21"/>
    <x v="3"/>
    <x v="4"/>
    <x v="2"/>
  </r>
  <r>
    <s v="TX500744"/>
    <x v="3"/>
    <x v="2"/>
    <x v="519"/>
    <n v="401.09999999999997"/>
    <d v="2025-02-01T00:00:00"/>
    <d v="2025-02-02T00:00:00"/>
    <x v="0"/>
    <x v="4"/>
    <x v="2"/>
    <x v="0"/>
    <x v="21"/>
    <x v="3"/>
    <x v="4"/>
    <x v="0"/>
  </r>
  <r>
    <s v="TX500745"/>
    <x v="4"/>
    <x v="9"/>
    <x v="84"/>
    <n v="234"/>
    <d v="2025-02-02T00:00:00"/>
    <d v="2025-02-10T00:00:00"/>
    <x v="2"/>
    <x v="0"/>
    <x v="1"/>
    <x v="0"/>
    <x v="21"/>
    <x v="9"/>
    <x v="5"/>
    <x v="2"/>
  </r>
  <r>
    <s v="TX500746"/>
    <x v="10"/>
    <x v="2"/>
    <x v="277"/>
    <n v="175.2"/>
    <d v="2025-02-02T00:00:00"/>
    <d v="2025-02-04T00:00:00"/>
    <x v="2"/>
    <x v="0"/>
    <x v="0"/>
    <x v="0"/>
    <x v="1"/>
    <x v="1"/>
    <x v="5"/>
    <x v="2"/>
  </r>
  <r>
    <s v="TX500747"/>
    <x v="6"/>
    <x v="11"/>
    <x v="146"/>
    <n v="585.9"/>
    <d v="2025-02-02T00:00:00"/>
    <d v="2025-02-06T00:00:00"/>
    <x v="1"/>
    <x v="1"/>
    <x v="2"/>
    <x v="0"/>
    <x v="22"/>
    <x v="5"/>
    <x v="5"/>
    <x v="1"/>
  </r>
  <r>
    <s v="TX500748"/>
    <x v="8"/>
    <x v="0"/>
    <x v="465"/>
    <n v="18.600000000000001"/>
    <d v="2025-02-02T00:00:00"/>
    <d v="2025-02-05T00:00:00"/>
    <x v="2"/>
    <x v="0"/>
    <x v="4"/>
    <x v="0"/>
    <x v="22"/>
    <x v="2"/>
    <x v="5"/>
    <x v="2"/>
  </r>
  <r>
    <s v="TX500749"/>
    <x v="1"/>
    <x v="5"/>
    <x v="520"/>
    <n v="1015.3"/>
    <d v="2025-02-02T00:00:00"/>
    <d v="2025-02-04T00:00:00"/>
    <x v="1"/>
    <x v="1"/>
    <x v="0"/>
    <x v="0"/>
    <x v="3"/>
    <x v="1"/>
    <x v="5"/>
    <x v="1"/>
  </r>
  <r>
    <s v="TX500750"/>
    <x v="6"/>
    <x v="2"/>
    <x v="521"/>
    <n v="245.10000000000002"/>
    <d v="2025-02-02T00:00:00"/>
    <d v="2025-02-03T00:00:00"/>
    <x v="0"/>
    <x v="4"/>
    <x v="4"/>
    <x v="0"/>
    <x v="3"/>
    <x v="3"/>
    <x v="5"/>
    <x v="0"/>
  </r>
  <r>
    <s v="TX500751"/>
    <x v="8"/>
    <x v="1"/>
    <x v="446"/>
    <n v="81.8"/>
    <d v="2025-02-02T00:00:00"/>
    <d v="2025-02-04T00:00:00"/>
    <x v="1"/>
    <x v="0"/>
    <x v="1"/>
    <x v="0"/>
    <x v="3"/>
    <x v="1"/>
    <x v="5"/>
    <x v="1"/>
  </r>
  <r>
    <s v="TX500752"/>
    <x v="6"/>
    <x v="12"/>
    <x v="522"/>
    <n v="172.8"/>
    <d v="2025-02-02T00:00:00"/>
    <d v="2025-02-08T00:00:00"/>
    <x v="2"/>
    <x v="0"/>
    <x v="1"/>
    <x v="0"/>
    <x v="3"/>
    <x v="4"/>
    <x v="5"/>
    <x v="2"/>
  </r>
  <r>
    <s v="TX500753"/>
    <x v="8"/>
    <x v="5"/>
    <x v="136"/>
    <n v="283.8"/>
    <d v="2025-02-02T00:00:00"/>
    <d v="2025-02-05T00:00:00"/>
    <x v="1"/>
    <x v="2"/>
    <x v="1"/>
    <x v="0"/>
    <x v="3"/>
    <x v="2"/>
    <x v="5"/>
    <x v="1"/>
  </r>
  <r>
    <s v="TX500754"/>
    <x v="15"/>
    <x v="12"/>
    <x v="128"/>
    <n v="145.6"/>
    <d v="2025-02-02T00:00:00"/>
    <d v="2025-02-03T00:00:00"/>
    <x v="1"/>
    <x v="0"/>
    <x v="0"/>
    <x v="0"/>
    <x v="3"/>
    <x v="3"/>
    <x v="5"/>
    <x v="1"/>
  </r>
  <r>
    <s v="TX500755"/>
    <x v="10"/>
    <x v="0"/>
    <x v="523"/>
    <n v="59.1"/>
    <d v="2025-02-02T00:00:00"/>
    <d v="2025-02-03T00:00:00"/>
    <x v="2"/>
    <x v="2"/>
    <x v="0"/>
    <x v="0"/>
    <x v="7"/>
    <x v="3"/>
    <x v="5"/>
    <x v="2"/>
  </r>
  <r>
    <s v="TX500756"/>
    <x v="2"/>
    <x v="14"/>
    <x v="417"/>
    <n v="1266.5"/>
    <d v="2025-02-02T00:00:00"/>
    <d v="2025-02-04T00:00:00"/>
    <x v="1"/>
    <x v="4"/>
    <x v="0"/>
    <x v="0"/>
    <x v="18"/>
    <x v="1"/>
    <x v="5"/>
    <x v="1"/>
  </r>
  <r>
    <s v="TX500757"/>
    <x v="5"/>
    <x v="0"/>
    <x v="524"/>
    <n v="72.8"/>
    <d v="2025-02-02T00:00:00"/>
    <d v="2025-02-03T00:00:00"/>
    <x v="2"/>
    <x v="0"/>
    <x v="1"/>
    <x v="0"/>
    <x v="19"/>
    <x v="3"/>
    <x v="5"/>
    <x v="2"/>
  </r>
  <r>
    <s v="TX500758"/>
    <x v="6"/>
    <x v="12"/>
    <x v="525"/>
    <n v="549.20000000000005"/>
    <d v="2025-02-02T00:00:00"/>
    <d v="2025-02-05T00:00:00"/>
    <x v="2"/>
    <x v="0"/>
    <x v="0"/>
    <x v="0"/>
    <x v="13"/>
    <x v="2"/>
    <x v="5"/>
    <x v="2"/>
  </r>
  <r>
    <s v="TX500759"/>
    <x v="1"/>
    <x v="2"/>
    <x v="242"/>
    <n v="146.10000000000002"/>
    <d v="2025-02-02T00:00:00"/>
    <d v="2025-02-07T00:00:00"/>
    <x v="2"/>
    <x v="0"/>
    <x v="1"/>
    <x v="0"/>
    <x v="21"/>
    <x v="0"/>
    <x v="5"/>
    <x v="2"/>
  </r>
  <r>
    <s v="TX500760"/>
    <x v="6"/>
    <x v="12"/>
    <x v="526"/>
    <n v="214.8"/>
    <d v="2025-02-02T00:00:00"/>
    <d v="2025-02-06T00:00:00"/>
    <x v="1"/>
    <x v="1"/>
    <x v="4"/>
    <x v="0"/>
    <x v="2"/>
    <x v="5"/>
    <x v="5"/>
    <x v="1"/>
  </r>
  <r>
    <s v="TX500761"/>
    <x v="2"/>
    <x v="3"/>
    <x v="320"/>
    <n v="706.30000000000007"/>
    <d v="2025-02-02T00:00:00"/>
    <d v="2025-02-04T00:00:00"/>
    <x v="2"/>
    <x v="0"/>
    <x v="1"/>
    <x v="0"/>
    <x v="2"/>
    <x v="1"/>
    <x v="5"/>
    <x v="2"/>
  </r>
  <r>
    <s v="TX500762"/>
    <x v="10"/>
    <x v="1"/>
    <x v="80"/>
    <n v="83.6"/>
    <d v="2025-02-02T00:00:00"/>
    <d v="2025-02-06T00:00:00"/>
    <x v="1"/>
    <x v="3"/>
    <x v="2"/>
    <x v="0"/>
    <x v="22"/>
    <x v="5"/>
    <x v="5"/>
    <x v="1"/>
  </r>
  <r>
    <s v="TX500763"/>
    <x v="4"/>
    <x v="8"/>
    <x v="365"/>
    <n v="228"/>
    <d v="2025-02-02T00:00:00"/>
    <d v="2025-02-04T00:00:00"/>
    <x v="1"/>
    <x v="2"/>
    <x v="1"/>
    <x v="0"/>
    <x v="3"/>
    <x v="1"/>
    <x v="5"/>
    <x v="1"/>
  </r>
  <r>
    <s v="TX500764"/>
    <x v="7"/>
    <x v="12"/>
    <x v="527"/>
    <n v="355.6"/>
    <d v="2025-02-02T00:00:00"/>
    <d v="2025-02-05T00:00:00"/>
    <x v="2"/>
    <x v="0"/>
    <x v="2"/>
    <x v="0"/>
    <x v="3"/>
    <x v="2"/>
    <x v="5"/>
    <x v="2"/>
  </r>
  <r>
    <s v="TX500765"/>
    <x v="6"/>
    <x v="0"/>
    <x v="366"/>
    <n v="62.5"/>
    <d v="2025-02-02T00:00:00"/>
    <d v="2025-02-11T00:00:00"/>
    <x v="2"/>
    <x v="0"/>
    <x v="2"/>
    <x v="0"/>
    <x v="3"/>
    <x v="8"/>
    <x v="5"/>
    <x v="2"/>
  </r>
  <r>
    <s v="TX500766"/>
    <x v="1"/>
    <x v="2"/>
    <x v="528"/>
    <n v="140.69999999999999"/>
    <d v="2025-02-02T00:00:00"/>
    <d v="2025-02-03T00:00:00"/>
    <x v="1"/>
    <x v="0"/>
    <x v="2"/>
    <x v="0"/>
    <x v="3"/>
    <x v="3"/>
    <x v="5"/>
    <x v="1"/>
  </r>
  <r>
    <s v="TX500767"/>
    <x v="8"/>
    <x v="2"/>
    <x v="303"/>
    <n v="135"/>
    <d v="2025-02-02T00:00:00"/>
    <d v="2025-02-16T00:00:00"/>
    <x v="1"/>
    <x v="1"/>
    <x v="0"/>
    <x v="0"/>
    <x v="3"/>
    <x v="12"/>
    <x v="5"/>
    <x v="1"/>
  </r>
  <r>
    <s v="TX500768"/>
    <x v="6"/>
    <x v="2"/>
    <x v="291"/>
    <n v="135.60000000000002"/>
    <d v="2025-02-02T00:00:00"/>
    <d v="2025-02-04T00:00:00"/>
    <x v="1"/>
    <x v="4"/>
    <x v="2"/>
    <x v="0"/>
    <x v="3"/>
    <x v="1"/>
    <x v="5"/>
    <x v="1"/>
  </r>
  <r>
    <s v="TX500769"/>
    <x v="4"/>
    <x v="1"/>
    <x v="110"/>
    <n v="120.2"/>
    <d v="2025-02-02T00:00:00"/>
    <d v="2025-02-03T00:00:00"/>
    <x v="2"/>
    <x v="0"/>
    <x v="2"/>
    <x v="0"/>
    <x v="3"/>
    <x v="3"/>
    <x v="5"/>
    <x v="2"/>
  </r>
  <r>
    <s v="TX500770"/>
    <x v="12"/>
    <x v="12"/>
    <x v="529"/>
    <n v="474.8"/>
    <d v="2025-02-02T00:00:00"/>
    <d v="2025-02-04T00:00:00"/>
    <x v="2"/>
    <x v="0"/>
    <x v="0"/>
    <x v="0"/>
    <x v="3"/>
    <x v="1"/>
    <x v="5"/>
    <x v="2"/>
  </r>
  <r>
    <s v="TX500771"/>
    <x v="9"/>
    <x v="0"/>
    <x v="211"/>
    <n v="57.8"/>
    <d v="2025-02-02T00:00:00"/>
    <d v="2025-02-11T00:00:00"/>
    <x v="2"/>
    <x v="1"/>
    <x v="0"/>
    <x v="0"/>
    <x v="3"/>
    <x v="8"/>
    <x v="5"/>
    <x v="2"/>
  </r>
  <r>
    <s v="TX500772"/>
    <x v="4"/>
    <x v="0"/>
    <x v="415"/>
    <n v="19.5"/>
    <d v="2025-02-02T00:00:00"/>
    <d v="2025-02-03T00:00:00"/>
    <x v="1"/>
    <x v="1"/>
    <x v="1"/>
    <x v="0"/>
    <x v="3"/>
    <x v="3"/>
    <x v="5"/>
    <x v="1"/>
  </r>
  <r>
    <s v="TX500773"/>
    <x v="12"/>
    <x v="0"/>
    <x v="325"/>
    <n v="42.6"/>
    <d v="2025-02-02T00:00:00"/>
    <d v="2025-02-03T00:00:00"/>
    <x v="1"/>
    <x v="0"/>
    <x v="1"/>
    <x v="0"/>
    <x v="3"/>
    <x v="3"/>
    <x v="5"/>
    <x v="1"/>
  </r>
  <r>
    <s v="TX500774"/>
    <x v="6"/>
    <x v="1"/>
    <x v="91"/>
    <n v="149.6"/>
    <d v="2025-02-02T00:00:00"/>
    <d v="2025-02-03T00:00:00"/>
    <x v="2"/>
    <x v="3"/>
    <x v="2"/>
    <x v="0"/>
    <x v="37"/>
    <x v="3"/>
    <x v="5"/>
    <x v="2"/>
  </r>
  <r>
    <s v="TX500775"/>
    <x v="8"/>
    <x v="2"/>
    <x v="504"/>
    <n v="97.5"/>
    <d v="2025-02-02T00:00:00"/>
    <d v="2025-02-03T00:00:00"/>
    <x v="1"/>
    <x v="2"/>
    <x v="4"/>
    <x v="0"/>
    <x v="16"/>
    <x v="3"/>
    <x v="5"/>
    <x v="1"/>
  </r>
  <r>
    <s v="TX500776"/>
    <x v="2"/>
    <x v="2"/>
    <x v="530"/>
    <n v="181.5"/>
    <d v="2025-02-02T00:00:00"/>
    <d v="2025-02-02T00:00:00"/>
    <x v="2"/>
    <x v="1"/>
    <x v="2"/>
    <x v="0"/>
    <x v="25"/>
    <x v="7"/>
    <x v="5"/>
    <x v="2"/>
  </r>
  <r>
    <s v="TX500777"/>
    <x v="1"/>
    <x v="3"/>
    <x v="27"/>
    <n v="400.40000000000003"/>
    <d v="2025-02-02T00:00:00"/>
    <d v="2025-02-04T00:00:00"/>
    <x v="0"/>
    <x v="2"/>
    <x v="0"/>
    <x v="0"/>
    <x v="25"/>
    <x v="1"/>
    <x v="5"/>
    <x v="0"/>
  </r>
  <r>
    <s v="TX500778"/>
    <x v="16"/>
    <x v="1"/>
    <x v="531"/>
    <n v="224"/>
    <d v="2025-02-02T00:00:00"/>
    <d v="2025-02-03T00:00:00"/>
    <x v="2"/>
    <x v="1"/>
    <x v="1"/>
    <x v="0"/>
    <x v="5"/>
    <x v="3"/>
    <x v="5"/>
    <x v="2"/>
  </r>
  <r>
    <s v="TX500779"/>
    <x v="7"/>
    <x v="7"/>
    <x v="11"/>
    <n v="490"/>
    <d v="2025-02-02T00:00:00"/>
    <d v="2025-02-03T00:00:00"/>
    <x v="3"/>
    <x v="2"/>
    <x v="1"/>
    <x v="0"/>
    <x v="6"/>
    <x v="3"/>
    <x v="5"/>
    <x v="3"/>
  </r>
  <r>
    <s v="TX500780"/>
    <x v="0"/>
    <x v="1"/>
    <x v="532"/>
    <n v="67.400000000000006"/>
    <d v="2025-02-02T00:00:00"/>
    <d v="2025-02-06T00:00:00"/>
    <x v="2"/>
    <x v="3"/>
    <x v="0"/>
    <x v="0"/>
    <x v="6"/>
    <x v="5"/>
    <x v="5"/>
    <x v="2"/>
  </r>
  <r>
    <s v="TX500781"/>
    <x v="4"/>
    <x v="2"/>
    <x v="533"/>
    <n v="106.80000000000001"/>
    <d v="2025-02-02T00:00:00"/>
    <d v="2025-02-05T00:00:00"/>
    <x v="2"/>
    <x v="0"/>
    <x v="2"/>
    <x v="0"/>
    <x v="6"/>
    <x v="2"/>
    <x v="5"/>
    <x v="2"/>
  </r>
  <r>
    <s v="TX500782"/>
    <x v="4"/>
    <x v="36"/>
    <x v="248"/>
    <n v="1064"/>
    <d v="2025-02-03T00:00:00"/>
    <d v="2025-02-03T00:00:00"/>
    <x v="2"/>
    <x v="0"/>
    <x v="1"/>
    <x v="0"/>
    <x v="7"/>
    <x v="7"/>
    <x v="5"/>
    <x v="2"/>
  </r>
  <r>
    <s v="TX500783"/>
    <x v="10"/>
    <x v="4"/>
    <x v="534"/>
    <n v="602.40000000000009"/>
    <d v="2025-02-03T00:00:00"/>
    <d v="2025-02-04T00:00:00"/>
    <x v="1"/>
    <x v="4"/>
    <x v="0"/>
    <x v="0"/>
    <x v="8"/>
    <x v="3"/>
    <x v="5"/>
    <x v="1"/>
  </r>
  <r>
    <s v="TX500784"/>
    <x v="1"/>
    <x v="1"/>
    <x v="535"/>
    <n v="87.4"/>
    <d v="2025-02-03T00:00:00"/>
    <d v="2025-02-05T00:00:00"/>
    <x v="2"/>
    <x v="0"/>
    <x v="0"/>
    <x v="0"/>
    <x v="8"/>
    <x v="1"/>
    <x v="5"/>
    <x v="2"/>
  </r>
  <r>
    <s v="TX500785"/>
    <x v="10"/>
    <x v="0"/>
    <x v="57"/>
    <n v="33.299999999999997"/>
    <d v="2025-02-03T00:00:00"/>
    <d v="2025-02-04T00:00:00"/>
    <x v="2"/>
    <x v="2"/>
    <x v="1"/>
    <x v="0"/>
    <x v="8"/>
    <x v="3"/>
    <x v="5"/>
    <x v="2"/>
  </r>
  <r>
    <s v="TX500786"/>
    <x v="8"/>
    <x v="12"/>
    <x v="536"/>
    <n v="60.4"/>
    <d v="2025-02-03T00:00:00"/>
    <d v="2025-02-05T00:00:00"/>
    <x v="2"/>
    <x v="4"/>
    <x v="2"/>
    <x v="0"/>
    <x v="8"/>
    <x v="1"/>
    <x v="5"/>
    <x v="2"/>
  </r>
  <r>
    <s v="TX500787"/>
    <x v="6"/>
    <x v="9"/>
    <x v="537"/>
    <n v="591"/>
    <d v="2025-02-03T00:00:00"/>
    <d v="2025-02-04T00:00:00"/>
    <x v="2"/>
    <x v="3"/>
    <x v="4"/>
    <x v="0"/>
    <x v="8"/>
    <x v="3"/>
    <x v="5"/>
    <x v="2"/>
  </r>
  <r>
    <s v="TX500788"/>
    <x v="10"/>
    <x v="2"/>
    <x v="538"/>
    <n v="86.699999999999989"/>
    <d v="2025-02-03T00:00:00"/>
    <d v="2025-02-05T00:00:00"/>
    <x v="2"/>
    <x v="2"/>
    <x v="1"/>
    <x v="0"/>
    <x v="8"/>
    <x v="1"/>
    <x v="5"/>
    <x v="2"/>
  </r>
  <r>
    <s v="TX500789"/>
    <x v="4"/>
    <x v="2"/>
    <x v="495"/>
    <n v="166.8"/>
    <d v="2025-02-03T00:00:00"/>
    <d v="2025-02-04T00:00:00"/>
    <x v="1"/>
    <x v="0"/>
    <x v="1"/>
    <x v="0"/>
    <x v="8"/>
    <x v="3"/>
    <x v="5"/>
    <x v="1"/>
  </r>
  <r>
    <s v="TX500790"/>
    <x v="9"/>
    <x v="12"/>
    <x v="170"/>
    <n v="102.4"/>
    <d v="2025-02-03T00:00:00"/>
    <d v="2025-02-05T00:00:00"/>
    <x v="2"/>
    <x v="0"/>
    <x v="1"/>
    <x v="0"/>
    <x v="8"/>
    <x v="1"/>
    <x v="5"/>
    <x v="2"/>
  </r>
  <r>
    <s v="TX500791"/>
    <x v="7"/>
    <x v="2"/>
    <x v="375"/>
    <n v="93.9"/>
    <d v="2025-02-03T00:00:00"/>
    <d v="2025-02-04T00:00:00"/>
    <x v="1"/>
    <x v="0"/>
    <x v="0"/>
    <x v="0"/>
    <x v="17"/>
    <x v="3"/>
    <x v="5"/>
    <x v="1"/>
  </r>
  <r>
    <s v="TX500792"/>
    <x v="0"/>
    <x v="2"/>
    <x v="237"/>
    <n v="66.300000000000011"/>
    <d v="2025-02-03T00:00:00"/>
    <d v="2025-02-07T00:00:00"/>
    <x v="1"/>
    <x v="0"/>
    <x v="0"/>
    <x v="0"/>
    <x v="17"/>
    <x v="5"/>
    <x v="5"/>
    <x v="1"/>
  </r>
  <r>
    <s v="TX500793"/>
    <x v="2"/>
    <x v="21"/>
    <x v="539"/>
    <n v="1391.6000000000001"/>
    <d v="2025-02-03T00:00:00"/>
    <d v="2025-02-04T00:00:00"/>
    <x v="1"/>
    <x v="1"/>
    <x v="0"/>
    <x v="0"/>
    <x v="11"/>
    <x v="3"/>
    <x v="5"/>
    <x v="1"/>
  </r>
  <r>
    <s v="TX500794"/>
    <x v="7"/>
    <x v="13"/>
    <x v="450"/>
    <n v="399.59999999999997"/>
    <d v="2025-02-03T00:00:00"/>
    <d v="2025-02-04T00:00:00"/>
    <x v="2"/>
    <x v="0"/>
    <x v="0"/>
    <x v="0"/>
    <x v="11"/>
    <x v="3"/>
    <x v="5"/>
    <x v="2"/>
  </r>
  <r>
    <s v="TX500795"/>
    <x v="8"/>
    <x v="1"/>
    <x v="351"/>
    <n v="45.2"/>
    <d v="2025-02-03T00:00:00"/>
    <d v="2025-02-06T00:00:00"/>
    <x v="1"/>
    <x v="0"/>
    <x v="0"/>
    <x v="0"/>
    <x v="11"/>
    <x v="2"/>
    <x v="5"/>
    <x v="1"/>
  </r>
  <r>
    <s v="TX500796"/>
    <x v="2"/>
    <x v="16"/>
    <x v="114"/>
    <n v="1202.3999999999999"/>
    <d v="2025-02-03T00:00:00"/>
    <d v="2025-02-04T00:00:00"/>
    <x v="2"/>
    <x v="0"/>
    <x v="4"/>
    <x v="0"/>
    <x v="13"/>
    <x v="3"/>
    <x v="5"/>
    <x v="2"/>
  </r>
  <r>
    <s v="TX500797"/>
    <x v="0"/>
    <x v="12"/>
    <x v="390"/>
    <n v="83.2"/>
    <d v="2025-02-03T00:00:00"/>
    <d v="2025-02-10T00:00:00"/>
    <x v="1"/>
    <x v="1"/>
    <x v="4"/>
    <x v="0"/>
    <x v="1"/>
    <x v="6"/>
    <x v="5"/>
    <x v="1"/>
  </r>
  <r>
    <s v="TX500798"/>
    <x v="2"/>
    <x v="3"/>
    <x v="540"/>
    <n v="717.5"/>
    <d v="2025-02-03T00:00:00"/>
    <d v="2025-02-04T00:00:00"/>
    <x v="2"/>
    <x v="4"/>
    <x v="2"/>
    <x v="0"/>
    <x v="3"/>
    <x v="3"/>
    <x v="5"/>
    <x v="2"/>
  </r>
  <r>
    <s v="TX500799"/>
    <x v="0"/>
    <x v="16"/>
    <x v="486"/>
    <n v="446.40000000000003"/>
    <d v="2025-02-03T00:00:00"/>
    <d v="2025-02-07T00:00:00"/>
    <x v="2"/>
    <x v="0"/>
    <x v="0"/>
    <x v="0"/>
    <x v="3"/>
    <x v="5"/>
    <x v="5"/>
    <x v="2"/>
  </r>
  <r>
    <s v="TX500800"/>
    <x v="4"/>
    <x v="37"/>
    <x v="541"/>
    <n v="973.4"/>
    <d v="2025-02-03T00:00:00"/>
    <d v="2025-02-04T00:00:00"/>
    <x v="2"/>
    <x v="3"/>
    <x v="0"/>
    <x v="0"/>
    <x v="3"/>
    <x v="3"/>
    <x v="5"/>
    <x v="2"/>
  </r>
  <r>
    <s v="TX500801"/>
    <x v="9"/>
    <x v="9"/>
    <x v="542"/>
    <n v="296.5"/>
    <d v="2025-02-03T00:00:00"/>
    <d v="2025-02-06T00:00:00"/>
    <x v="1"/>
    <x v="1"/>
    <x v="2"/>
    <x v="0"/>
    <x v="43"/>
    <x v="2"/>
    <x v="5"/>
    <x v="1"/>
  </r>
  <r>
    <s v="TX500802"/>
    <x v="11"/>
    <x v="13"/>
    <x v="37"/>
    <n v="234"/>
    <d v="2025-02-03T00:00:00"/>
    <d v="2025-02-06T00:00:00"/>
    <x v="1"/>
    <x v="1"/>
    <x v="0"/>
    <x v="0"/>
    <x v="6"/>
    <x v="2"/>
    <x v="5"/>
    <x v="1"/>
  </r>
  <r>
    <s v="TX500803"/>
    <x v="5"/>
    <x v="13"/>
    <x v="543"/>
    <n v="591.59999999999991"/>
    <d v="2025-02-03T00:00:00"/>
    <d v="2025-02-05T00:00:00"/>
    <x v="2"/>
    <x v="1"/>
    <x v="0"/>
    <x v="0"/>
    <x v="6"/>
    <x v="1"/>
    <x v="5"/>
    <x v="2"/>
  </r>
  <r>
    <s v="TX500804"/>
    <x v="8"/>
    <x v="0"/>
    <x v="490"/>
    <n v="20"/>
    <d v="2025-02-04T00:00:00"/>
    <d v="2025-02-05T00:00:00"/>
    <x v="1"/>
    <x v="3"/>
    <x v="2"/>
    <x v="0"/>
    <x v="8"/>
    <x v="3"/>
    <x v="5"/>
    <x v="1"/>
  </r>
  <r>
    <s v="TX500805"/>
    <x v="1"/>
    <x v="1"/>
    <x v="429"/>
    <n v="85.8"/>
    <d v="2025-02-04T00:00:00"/>
    <d v="2025-02-06T00:00:00"/>
    <x v="2"/>
    <x v="0"/>
    <x v="2"/>
    <x v="0"/>
    <x v="8"/>
    <x v="1"/>
    <x v="5"/>
    <x v="2"/>
  </r>
  <r>
    <s v="TX500806"/>
    <x v="7"/>
    <x v="3"/>
    <x v="495"/>
    <n v="389.2"/>
    <d v="2025-02-04T00:00:00"/>
    <d v="2025-02-06T00:00:00"/>
    <x v="2"/>
    <x v="2"/>
    <x v="1"/>
    <x v="0"/>
    <x v="8"/>
    <x v="1"/>
    <x v="5"/>
    <x v="2"/>
  </r>
  <r>
    <s v="TX500807"/>
    <x v="8"/>
    <x v="12"/>
    <x v="359"/>
    <n v="76.8"/>
    <d v="2025-02-04T00:00:00"/>
    <d v="2025-02-09T00:00:00"/>
    <x v="2"/>
    <x v="0"/>
    <x v="0"/>
    <x v="0"/>
    <x v="41"/>
    <x v="0"/>
    <x v="5"/>
    <x v="2"/>
  </r>
  <r>
    <s v="TX500808"/>
    <x v="5"/>
    <x v="1"/>
    <x v="144"/>
    <n v="57.6"/>
    <d v="2025-02-04T00:00:00"/>
    <d v="2025-02-06T00:00:00"/>
    <x v="1"/>
    <x v="1"/>
    <x v="0"/>
    <x v="0"/>
    <x v="18"/>
    <x v="1"/>
    <x v="5"/>
    <x v="1"/>
  </r>
  <r>
    <s v="TX500809"/>
    <x v="4"/>
    <x v="0"/>
    <x v="47"/>
    <n v="29.7"/>
    <d v="2025-02-04T00:00:00"/>
    <d v="2025-02-06T00:00:00"/>
    <x v="2"/>
    <x v="2"/>
    <x v="4"/>
    <x v="0"/>
    <x v="20"/>
    <x v="1"/>
    <x v="5"/>
    <x v="2"/>
  </r>
  <r>
    <s v="TX500810"/>
    <x v="6"/>
    <x v="13"/>
    <x v="113"/>
    <n v="379.79999999999995"/>
    <d v="2025-02-04T00:00:00"/>
    <d v="2025-02-05T00:00:00"/>
    <x v="0"/>
    <x v="0"/>
    <x v="2"/>
    <x v="0"/>
    <x v="21"/>
    <x v="3"/>
    <x v="5"/>
    <x v="0"/>
  </r>
  <r>
    <s v="TX500811"/>
    <x v="4"/>
    <x v="0"/>
    <x v="544"/>
    <n v="46"/>
    <d v="2025-02-04T00:00:00"/>
    <d v="2025-02-05T00:00:00"/>
    <x v="2"/>
    <x v="0"/>
    <x v="2"/>
    <x v="0"/>
    <x v="21"/>
    <x v="3"/>
    <x v="5"/>
    <x v="2"/>
  </r>
  <r>
    <s v="TX500812"/>
    <x v="11"/>
    <x v="2"/>
    <x v="545"/>
    <n v="114"/>
    <d v="2025-02-04T00:00:00"/>
    <d v="2025-02-06T00:00:00"/>
    <x v="2"/>
    <x v="1"/>
    <x v="2"/>
    <x v="0"/>
    <x v="21"/>
    <x v="1"/>
    <x v="5"/>
    <x v="2"/>
  </r>
  <r>
    <s v="TX500813"/>
    <x v="10"/>
    <x v="15"/>
    <x v="292"/>
    <n v="449.8"/>
    <d v="2025-02-04T00:00:00"/>
    <d v="2025-02-06T00:00:00"/>
    <x v="2"/>
    <x v="0"/>
    <x v="1"/>
    <x v="0"/>
    <x v="21"/>
    <x v="1"/>
    <x v="5"/>
    <x v="2"/>
  </r>
  <r>
    <s v="TX500814"/>
    <x v="3"/>
    <x v="7"/>
    <x v="546"/>
    <n v="797"/>
    <d v="2025-02-04T00:00:00"/>
    <d v="2025-02-05T00:00:00"/>
    <x v="2"/>
    <x v="4"/>
    <x v="1"/>
    <x v="0"/>
    <x v="21"/>
    <x v="3"/>
    <x v="5"/>
    <x v="2"/>
  </r>
  <r>
    <s v="TX500815"/>
    <x v="8"/>
    <x v="8"/>
    <x v="162"/>
    <n v="244"/>
    <d v="2025-02-04T00:00:00"/>
    <d v="2025-02-08T00:00:00"/>
    <x v="1"/>
    <x v="3"/>
    <x v="0"/>
    <x v="0"/>
    <x v="1"/>
    <x v="5"/>
    <x v="5"/>
    <x v="1"/>
  </r>
  <r>
    <s v="TX500816"/>
    <x v="0"/>
    <x v="1"/>
    <x v="390"/>
    <n v="41.6"/>
    <d v="2025-02-04T00:00:00"/>
    <d v="2025-02-05T00:00:00"/>
    <x v="2"/>
    <x v="0"/>
    <x v="0"/>
    <x v="0"/>
    <x v="2"/>
    <x v="3"/>
    <x v="5"/>
    <x v="2"/>
  </r>
  <r>
    <s v="TX500817"/>
    <x v="11"/>
    <x v="3"/>
    <x v="286"/>
    <n v="339.5"/>
    <d v="2025-02-04T00:00:00"/>
    <d v="2025-02-08T00:00:00"/>
    <x v="2"/>
    <x v="2"/>
    <x v="2"/>
    <x v="0"/>
    <x v="2"/>
    <x v="5"/>
    <x v="5"/>
    <x v="2"/>
  </r>
  <r>
    <s v="TX500818"/>
    <x v="2"/>
    <x v="12"/>
    <x v="547"/>
    <n v="247.2"/>
    <d v="2025-02-04T00:00:00"/>
    <d v="2025-02-08T00:00:00"/>
    <x v="2"/>
    <x v="4"/>
    <x v="0"/>
    <x v="0"/>
    <x v="22"/>
    <x v="5"/>
    <x v="5"/>
    <x v="2"/>
  </r>
  <r>
    <s v="TX500819"/>
    <x v="10"/>
    <x v="0"/>
    <x v="354"/>
    <n v="46.1"/>
    <d v="2025-02-04T00:00:00"/>
    <d v="2025-02-05T00:00:00"/>
    <x v="3"/>
    <x v="2"/>
    <x v="0"/>
    <x v="0"/>
    <x v="3"/>
    <x v="3"/>
    <x v="5"/>
    <x v="3"/>
  </r>
  <r>
    <s v="TX500820"/>
    <x v="4"/>
    <x v="13"/>
    <x v="548"/>
    <n v="264"/>
    <d v="2025-02-04T00:00:00"/>
    <d v="2025-02-05T00:00:00"/>
    <x v="2"/>
    <x v="0"/>
    <x v="0"/>
    <x v="0"/>
    <x v="3"/>
    <x v="3"/>
    <x v="5"/>
    <x v="2"/>
  </r>
  <r>
    <s v="TX500821"/>
    <x v="18"/>
    <x v="1"/>
    <x v="549"/>
    <n v="191.4"/>
    <d v="2025-02-04T00:00:00"/>
    <d v="2025-02-10T00:00:00"/>
    <x v="2"/>
    <x v="3"/>
    <x v="2"/>
    <x v="0"/>
    <x v="3"/>
    <x v="4"/>
    <x v="5"/>
    <x v="2"/>
  </r>
  <r>
    <s v="TX500822"/>
    <x v="7"/>
    <x v="9"/>
    <x v="340"/>
    <n v="232"/>
    <d v="2025-02-04T00:00:00"/>
    <d v="2025-02-07T00:00:00"/>
    <x v="2"/>
    <x v="0"/>
    <x v="0"/>
    <x v="0"/>
    <x v="3"/>
    <x v="2"/>
    <x v="5"/>
    <x v="2"/>
  </r>
  <r>
    <s v="TX500823"/>
    <x v="6"/>
    <x v="1"/>
    <x v="550"/>
    <n v="94.4"/>
    <d v="2025-02-04T00:00:00"/>
    <d v="2025-02-06T00:00:00"/>
    <x v="2"/>
    <x v="0"/>
    <x v="2"/>
    <x v="0"/>
    <x v="3"/>
    <x v="1"/>
    <x v="5"/>
    <x v="2"/>
  </r>
  <r>
    <s v="TX500824"/>
    <x v="7"/>
    <x v="1"/>
    <x v="75"/>
    <n v="117.2"/>
    <d v="2025-02-04T00:00:00"/>
    <d v="2025-02-05T00:00:00"/>
    <x v="2"/>
    <x v="2"/>
    <x v="1"/>
    <x v="0"/>
    <x v="3"/>
    <x v="3"/>
    <x v="5"/>
    <x v="2"/>
  </r>
  <r>
    <s v="TX500825"/>
    <x v="4"/>
    <x v="2"/>
    <x v="551"/>
    <n v="171"/>
    <d v="2025-02-04T00:00:00"/>
    <d v="2025-02-05T00:00:00"/>
    <x v="1"/>
    <x v="0"/>
    <x v="2"/>
    <x v="0"/>
    <x v="3"/>
    <x v="3"/>
    <x v="5"/>
    <x v="1"/>
  </r>
  <r>
    <s v="TX500826"/>
    <x v="8"/>
    <x v="12"/>
    <x v="538"/>
    <n v="115.6"/>
    <d v="2025-02-04T00:00:00"/>
    <d v="2025-02-08T00:00:00"/>
    <x v="1"/>
    <x v="2"/>
    <x v="0"/>
    <x v="0"/>
    <x v="3"/>
    <x v="5"/>
    <x v="5"/>
    <x v="1"/>
  </r>
  <r>
    <s v="TX500827"/>
    <x v="12"/>
    <x v="9"/>
    <x v="552"/>
    <n v="303.5"/>
    <d v="2025-02-04T00:00:00"/>
    <d v="2025-02-08T00:00:00"/>
    <x v="0"/>
    <x v="1"/>
    <x v="1"/>
    <x v="0"/>
    <x v="3"/>
    <x v="5"/>
    <x v="5"/>
    <x v="0"/>
  </r>
  <r>
    <s v="TX500828"/>
    <x v="6"/>
    <x v="9"/>
    <x v="553"/>
    <n v="304"/>
    <d v="2025-02-04T00:00:00"/>
    <d v="2025-02-08T00:00:00"/>
    <x v="1"/>
    <x v="0"/>
    <x v="1"/>
    <x v="0"/>
    <x v="3"/>
    <x v="5"/>
    <x v="5"/>
    <x v="1"/>
  </r>
  <r>
    <s v="TX500829"/>
    <x v="6"/>
    <x v="9"/>
    <x v="554"/>
    <n v="323"/>
    <d v="2025-02-04T00:00:00"/>
    <d v="2025-02-05T00:00:00"/>
    <x v="2"/>
    <x v="3"/>
    <x v="0"/>
    <x v="0"/>
    <x v="3"/>
    <x v="3"/>
    <x v="5"/>
    <x v="2"/>
  </r>
  <r>
    <s v="TX500830"/>
    <x v="8"/>
    <x v="0"/>
    <x v="421"/>
    <n v="21.9"/>
    <d v="2025-02-04T00:00:00"/>
    <d v="2025-02-07T00:00:00"/>
    <x v="1"/>
    <x v="1"/>
    <x v="2"/>
    <x v="0"/>
    <x v="4"/>
    <x v="2"/>
    <x v="5"/>
    <x v="1"/>
  </r>
  <r>
    <s v="TX500831"/>
    <x v="4"/>
    <x v="4"/>
    <x v="172"/>
    <n v="400.79999999999995"/>
    <d v="2025-02-04T00:00:00"/>
    <d v="2025-02-06T00:00:00"/>
    <x v="2"/>
    <x v="0"/>
    <x v="0"/>
    <x v="0"/>
    <x v="23"/>
    <x v="1"/>
    <x v="5"/>
    <x v="2"/>
  </r>
  <r>
    <s v="TX500832"/>
    <x v="2"/>
    <x v="0"/>
    <x v="309"/>
    <n v="51.7"/>
    <d v="2025-02-04T00:00:00"/>
    <d v="2025-02-05T00:00:00"/>
    <x v="0"/>
    <x v="0"/>
    <x v="0"/>
    <x v="0"/>
    <x v="6"/>
    <x v="3"/>
    <x v="5"/>
    <x v="0"/>
  </r>
  <r>
    <s v="TX500833"/>
    <x v="1"/>
    <x v="12"/>
    <x v="555"/>
    <n v="339.6"/>
    <d v="2025-02-04T00:00:00"/>
    <d v="2025-02-05T00:00:00"/>
    <x v="2"/>
    <x v="1"/>
    <x v="1"/>
    <x v="0"/>
    <x v="6"/>
    <x v="3"/>
    <x v="5"/>
    <x v="2"/>
  </r>
  <r>
    <s v="TX500834"/>
    <x v="1"/>
    <x v="5"/>
    <x v="556"/>
    <n v="685.3"/>
    <d v="2025-02-04T00:00:00"/>
    <d v="2025-02-05T00:00:00"/>
    <x v="2"/>
    <x v="2"/>
    <x v="2"/>
    <x v="0"/>
    <x v="7"/>
    <x v="3"/>
    <x v="5"/>
    <x v="2"/>
  </r>
  <r>
    <s v="TX500835"/>
    <x v="4"/>
    <x v="0"/>
    <x v="155"/>
    <n v="50.7"/>
    <d v="2025-02-04T00:00:00"/>
    <d v="2025-02-06T00:00:00"/>
    <x v="1"/>
    <x v="2"/>
    <x v="2"/>
    <x v="0"/>
    <x v="8"/>
    <x v="1"/>
    <x v="5"/>
    <x v="1"/>
  </r>
  <r>
    <s v="TX500836"/>
    <x v="18"/>
    <x v="0"/>
    <x v="557"/>
    <n v="39.5"/>
    <d v="2025-02-04T00:00:00"/>
    <d v="2025-02-05T00:00:00"/>
    <x v="1"/>
    <x v="4"/>
    <x v="1"/>
    <x v="0"/>
    <x v="8"/>
    <x v="3"/>
    <x v="5"/>
    <x v="1"/>
  </r>
  <r>
    <s v="TX500837"/>
    <x v="12"/>
    <x v="2"/>
    <x v="15"/>
    <n v="92.699999999999989"/>
    <d v="2025-02-04T00:00:00"/>
    <d v="2025-02-05T00:00:00"/>
    <x v="0"/>
    <x v="4"/>
    <x v="2"/>
    <x v="0"/>
    <x v="8"/>
    <x v="3"/>
    <x v="5"/>
    <x v="0"/>
  </r>
  <r>
    <s v="TX500838"/>
    <x v="1"/>
    <x v="3"/>
    <x v="128"/>
    <n v="254.79999999999998"/>
    <d v="2025-02-04T00:00:00"/>
    <d v="2025-02-07T00:00:00"/>
    <x v="2"/>
    <x v="0"/>
    <x v="2"/>
    <x v="0"/>
    <x v="8"/>
    <x v="2"/>
    <x v="5"/>
    <x v="2"/>
  </r>
  <r>
    <s v="TX500839"/>
    <x v="6"/>
    <x v="8"/>
    <x v="339"/>
    <n v="844.8"/>
    <d v="2025-02-04T00:00:00"/>
    <d v="2025-02-14T00:00:00"/>
    <x v="2"/>
    <x v="0"/>
    <x v="0"/>
    <x v="0"/>
    <x v="8"/>
    <x v="14"/>
    <x v="5"/>
    <x v="2"/>
  </r>
  <r>
    <s v="TX500840"/>
    <x v="8"/>
    <x v="1"/>
    <x v="237"/>
    <n v="44.2"/>
    <d v="2025-02-04T00:00:00"/>
    <d v="2025-02-05T00:00:00"/>
    <x v="2"/>
    <x v="0"/>
    <x v="2"/>
    <x v="0"/>
    <x v="17"/>
    <x v="3"/>
    <x v="5"/>
    <x v="2"/>
  </r>
  <r>
    <s v="TX500841"/>
    <x v="0"/>
    <x v="2"/>
    <x v="351"/>
    <n v="67.800000000000011"/>
    <d v="2025-02-04T00:00:00"/>
    <d v="2025-02-05T00:00:00"/>
    <x v="2"/>
    <x v="2"/>
    <x v="0"/>
    <x v="0"/>
    <x v="17"/>
    <x v="3"/>
    <x v="5"/>
    <x v="2"/>
  </r>
  <r>
    <s v="TX500842"/>
    <x v="10"/>
    <x v="13"/>
    <x v="133"/>
    <n v="157.80000000000001"/>
    <d v="2025-02-04T00:00:00"/>
    <d v="2025-02-04T00:00:00"/>
    <x v="2"/>
    <x v="2"/>
    <x v="0"/>
    <x v="0"/>
    <x v="9"/>
    <x v="7"/>
    <x v="5"/>
    <x v="2"/>
  </r>
  <r>
    <s v="TX500843"/>
    <x v="1"/>
    <x v="12"/>
    <x v="256"/>
    <n v="151.19999999999999"/>
    <d v="2025-02-04T00:00:00"/>
    <d v="2025-02-05T00:00:00"/>
    <x v="2"/>
    <x v="0"/>
    <x v="2"/>
    <x v="0"/>
    <x v="11"/>
    <x v="3"/>
    <x v="5"/>
    <x v="2"/>
  </r>
  <r>
    <s v="TX500844"/>
    <x v="6"/>
    <x v="14"/>
    <x v="558"/>
    <n v="1632"/>
    <d v="2025-02-04T00:00:00"/>
    <d v="2025-02-07T00:00:00"/>
    <x v="2"/>
    <x v="4"/>
    <x v="1"/>
    <x v="0"/>
    <x v="18"/>
    <x v="2"/>
    <x v="5"/>
    <x v="2"/>
  </r>
  <r>
    <s v="TX500845"/>
    <x v="1"/>
    <x v="0"/>
    <x v="331"/>
    <n v="83.6"/>
    <d v="2025-02-04T00:00:00"/>
    <d v="2025-02-07T00:00:00"/>
    <x v="2"/>
    <x v="2"/>
    <x v="1"/>
    <x v="0"/>
    <x v="19"/>
    <x v="2"/>
    <x v="5"/>
    <x v="2"/>
  </r>
  <r>
    <s v="TX500846"/>
    <x v="2"/>
    <x v="13"/>
    <x v="559"/>
    <n v="435.59999999999997"/>
    <d v="2025-02-04T00:00:00"/>
    <d v="2025-02-05T00:00:00"/>
    <x v="2"/>
    <x v="0"/>
    <x v="0"/>
    <x v="0"/>
    <x v="21"/>
    <x v="3"/>
    <x v="5"/>
    <x v="2"/>
  </r>
  <r>
    <s v="TX500847"/>
    <x v="5"/>
    <x v="28"/>
    <x v="276"/>
    <n v="1382"/>
    <d v="2025-02-05T00:00:00"/>
    <d v="2025-02-11T00:00:00"/>
    <x v="1"/>
    <x v="0"/>
    <x v="2"/>
    <x v="0"/>
    <x v="21"/>
    <x v="4"/>
    <x v="5"/>
    <x v="1"/>
  </r>
  <r>
    <s v="TX500848"/>
    <x v="4"/>
    <x v="1"/>
    <x v="351"/>
    <n v="45.2"/>
    <d v="2025-02-05T00:00:00"/>
    <d v="2025-02-07T00:00:00"/>
    <x v="2"/>
    <x v="1"/>
    <x v="2"/>
    <x v="0"/>
    <x v="21"/>
    <x v="1"/>
    <x v="5"/>
    <x v="2"/>
  </r>
  <r>
    <s v="TX500849"/>
    <x v="6"/>
    <x v="1"/>
    <x v="299"/>
    <n v="90.6"/>
    <d v="2025-02-05T00:00:00"/>
    <d v="2025-02-09T00:00:00"/>
    <x v="1"/>
    <x v="4"/>
    <x v="2"/>
    <x v="0"/>
    <x v="21"/>
    <x v="5"/>
    <x v="5"/>
    <x v="1"/>
  </r>
  <r>
    <s v="TX500850"/>
    <x v="2"/>
    <x v="1"/>
    <x v="560"/>
    <n v="230.2"/>
    <d v="2025-02-05T00:00:00"/>
    <d v="2025-02-06T00:00:00"/>
    <x v="2"/>
    <x v="1"/>
    <x v="0"/>
    <x v="0"/>
    <x v="1"/>
    <x v="3"/>
    <x v="5"/>
    <x v="2"/>
  </r>
  <r>
    <s v="TX500851"/>
    <x v="18"/>
    <x v="12"/>
    <x v="561"/>
    <n v="316"/>
    <d v="2025-02-05T00:00:00"/>
    <d v="2025-02-07T00:00:00"/>
    <x v="1"/>
    <x v="2"/>
    <x v="4"/>
    <x v="0"/>
    <x v="1"/>
    <x v="1"/>
    <x v="5"/>
    <x v="1"/>
  </r>
  <r>
    <s v="TX500852"/>
    <x v="6"/>
    <x v="9"/>
    <x v="434"/>
    <n v="264"/>
    <d v="2025-02-05T00:00:00"/>
    <d v="2025-02-06T00:00:00"/>
    <x v="2"/>
    <x v="0"/>
    <x v="0"/>
    <x v="0"/>
    <x v="42"/>
    <x v="3"/>
    <x v="5"/>
    <x v="2"/>
  </r>
  <r>
    <s v="TX500853"/>
    <x v="8"/>
    <x v="1"/>
    <x v="268"/>
    <n v="68.2"/>
    <d v="2025-02-05T00:00:00"/>
    <d v="2025-02-06T00:00:00"/>
    <x v="1"/>
    <x v="3"/>
    <x v="2"/>
    <x v="0"/>
    <x v="44"/>
    <x v="3"/>
    <x v="5"/>
    <x v="1"/>
  </r>
  <r>
    <s v="TX500854"/>
    <x v="6"/>
    <x v="9"/>
    <x v="562"/>
    <n v="539.5"/>
    <d v="2025-02-05T00:00:00"/>
    <d v="2025-02-05T00:00:00"/>
    <x v="2"/>
    <x v="0"/>
    <x v="2"/>
    <x v="0"/>
    <x v="50"/>
    <x v="7"/>
    <x v="5"/>
    <x v="2"/>
  </r>
  <r>
    <s v="TX500855"/>
    <x v="8"/>
    <x v="15"/>
    <x v="286"/>
    <n v="630.5"/>
    <d v="2025-02-05T00:00:00"/>
    <d v="2025-02-05T00:00:00"/>
    <x v="1"/>
    <x v="2"/>
    <x v="2"/>
    <x v="0"/>
    <x v="3"/>
    <x v="7"/>
    <x v="5"/>
    <x v="1"/>
  </r>
  <r>
    <s v="TX500856"/>
    <x v="5"/>
    <x v="2"/>
    <x v="267"/>
    <n v="104.10000000000001"/>
    <d v="2025-02-05T00:00:00"/>
    <d v="2025-02-06T00:00:00"/>
    <x v="0"/>
    <x v="4"/>
    <x v="1"/>
    <x v="0"/>
    <x v="3"/>
    <x v="3"/>
    <x v="5"/>
    <x v="0"/>
  </r>
  <r>
    <s v="TX500857"/>
    <x v="8"/>
    <x v="0"/>
    <x v="384"/>
    <n v="16.8"/>
    <d v="2025-02-05T00:00:00"/>
    <d v="2025-02-07T00:00:00"/>
    <x v="2"/>
    <x v="3"/>
    <x v="0"/>
    <x v="0"/>
    <x v="3"/>
    <x v="1"/>
    <x v="5"/>
    <x v="2"/>
  </r>
  <r>
    <s v="TX500858"/>
    <x v="8"/>
    <x v="13"/>
    <x v="383"/>
    <n v="109.80000000000001"/>
    <d v="2025-02-05T00:00:00"/>
    <d v="2025-02-08T00:00:00"/>
    <x v="2"/>
    <x v="0"/>
    <x v="0"/>
    <x v="0"/>
    <x v="3"/>
    <x v="2"/>
    <x v="5"/>
    <x v="2"/>
  </r>
  <r>
    <s v="TX500859"/>
    <x v="18"/>
    <x v="2"/>
    <x v="218"/>
    <n v="167.7"/>
    <d v="2025-02-05T00:00:00"/>
    <d v="2025-02-11T00:00:00"/>
    <x v="1"/>
    <x v="3"/>
    <x v="1"/>
    <x v="0"/>
    <x v="3"/>
    <x v="4"/>
    <x v="5"/>
    <x v="1"/>
  </r>
  <r>
    <s v="TX500860"/>
    <x v="8"/>
    <x v="2"/>
    <x v="406"/>
    <n v="117.60000000000001"/>
    <d v="2025-02-05T00:00:00"/>
    <d v="2025-02-07T00:00:00"/>
    <x v="2"/>
    <x v="0"/>
    <x v="1"/>
    <x v="0"/>
    <x v="3"/>
    <x v="1"/>
    <x v="5"/>
    <x v="2"/>
  </r>
  <r>
    <s v="TX500861"/>
    <x v="15"/>
    <x v="12"/>
    <x v="563"/>
    <n v="266"/>
    <d v="2025-02-05T00:00:00"/>
    <d v="2025-02-07T00:00:00"/>
    <x v="0"/>
    <x v="3"/>
    <x v="1"/>
    <x v="0"/>
    <x v="3"/>
    <x v="1"/>
    <x v="5"/>
    <x v="0"/>
  </r>
  <r>
    <s v="TX500862"/>
    <x v="6"/>
    <x v="13"/>
    <x v="184"/>
    <n v="312.60000000000002"/>
    <d v="2025-02-05T00:00:00"/>
    <d v="2025-02-07T00:00:00"/>
    <x v="1"/>
    <x v="1"/>
    <x v="1"/>
    <x v="0"/>
    <x v="16"/>
    <x v="1"/>
    <x v="5"/>
    <x v="1"/>
  </r>
  <r>
    <s v="TX500863"/>
    <x v="8"/>
    <x v="1"/>
    <x v="129"/>
    <n v="38"/>
    <d v="2025-02-05T00:00:00"/>
    <d v="2025-02-06T00:00:00"/>
    <x v="1"/>
    <x v="4"/>
    <x v="2"/>
    <x v="0"/>
    <x v="6"/>
    <x v="3"/>
    <x v="5"/>
    <x v="1"/>
  </r>
  <r>
    <s v="TX500864"/>
    <x v="7"/>
    <x v="2"/>
    <x v="564"/>
    <n v="254.39999999999998"/>
    <d v="2025-02-05T00:00:00"/>
    <d v="2025-02-07T00:00:00"/>
    <x v="2"/>
    <x v="2"/>
    <x v="0"/>
    <x v="0"/>
    <x v="8"/>
    <x v="1"/>
    <x v="5"/>
    <x v="2"/>
  </r>
  <r>
    <s v="TX500865"/>
    <x v="2"/>
    <x v="12"/>
    <x v="565"/>
    <n v="255.6"/>
    <d v="2025-02-05T00:00:00"/>
    <d v="2025-02-08T00:00:00"/>
    <x v="2"/>
    <x v="0"/>
    <x v="0"/>
    <x v="0"/>
    <x v="8"/>
    <x v="2"/>
    <x v="5"/>
    <x v="2"/>
  </r>
  <r>
    <s v="TX500866"/>
    <x v="2"/>
    <x v="2"/>
    <x v="313"/>
    <n v="196.5"/>
    <d v="2025-02-05T00:00:00"/>
    <d v="2025-02-05T00:00:00"/>
    <x v="2"/>
    <x v="1"/>
    <x v="1"/>
    <x v="0"/>
    <x v="8"/>
    <x v="7"/>
    <x v="5"/>
    <x v="2"/>
  </r>
  <r>
    <s v="TX500867"/>
    <x v="12"/>
    <x v="1"/>
    <x v="566"/>
    <n v="232.4"/>
    <d v="2025-02-05T00:00:00"/>
    <d v="2025-02-11T00:00:00"/>
    <x v="1"/>
    <x v="3"/>
    <x v="0"/>
    <x v="0"/>
    <x v="17"/>
    <x v="4"/>
    <x v="5"/>
    <x v="1"/>
  </r>
  <r>
    <s v="TX500868"/>
    <x v="10"/>
    <x v="12"/>
    <x v="409"/>
    <n v="91.6"/>
    <d v="2025-02-05T00:00:00"/>
    <d v="2025-02-07T00:00:00"/>
    <x v="2"/>
    <x v="2"/>
    <x v="1"/>
    <x v="0"/>
    <x v="38"/>
    <x v="1"/>
    <x v="5"/>
    <x v="2"/>
  </r>
  <r>
    <s v="TX500869"/>
    <x v="10"/>
    <x v="2"/>
    <x v="526"/>
    <n v="161.10000000000002"/>
    <d v="2025-02-05T00:00:00"/>
    <d v="2025-02-06T00:00:00"/>
    <x v="1"/>
    <x v="0"/>
    <x v="4"/>
    <x v="0"/>
    <x v="18"/>
    <x v="3"/>
    <x v="5"/>
    <x v="1"/>
  </r>
  <r>
    <s v="TX500870"/>
    <x v="6"/>
    <x v="9"/>
    <x v="522"/>
    <n v="216"/>
    <d v="2025-02-05T00:00:00"/>
    <d v="2025-02-07T00:00:00"/>
    <x v="2"/>
    <x v="0"/>
    <x v="0"/>
    <x v="0"/>
    <x v="19"/>
    <x v="1"/>
    <x v="5"/>
    <x v="2"/>
  </r>
  <r>
    <s v="TX500871"/>
    <x v="1"/>
    <x v="2"/>
    <x v="100"/>
    <n v="253.5"/>
    <d v="2025-02-05T00:00:00"/>
    <d v="2025-02-07T00:00:00"/>
    <x v="1"/>
    <x v="2"/>
    <x v="2"/>
    <x v="0"/>
    <x v="51"/>
    <x v="1"/>
    <x v="5"/>
    <x v="1"/>
  </r>
  <r>
    <s v="TX500872"/>
    <x v="3"/>
    <x v="1"/>
    <x v="567"/>
    <n v="84.4"/>
    <d v="2025-02-05T00:00:00"/>
    <d v="2025-02-06T00:00:00"/>
    <x v="2"/>
    <x v="1"/>
    <x v="2"/>
    <x v="0"/>
    <x v="1"/>
    <x v="3"/>
    <x v="5"/>
    <x v="2"/>
  </r>
  <r>
    <s v="TX500873"/>
    <x v="2"/>
    <x v="13"/>
    <x v="568"/>
    <n v="568.20000000000005"/>
    <d v="2025-02-05T00:00:00"/>
    <d v="2025-02-08T00:00:00"/>
    <x v="2"/>
    <x v="1"/>
    <x v="2"/>
    <x v="0"/>
    <x v="2"/>
    <x v="2"/>
    <x v="5"/>
    <x v="2"/>
  </r>
  <r>
    <s v="TX500874"/>
    <x v="8"/>
    <x v="16"/>
    <x v="569"/>
    <n v="300.59999999999997"/>
    <d v="2025-02-05T00:00:00"/>
    <d v="2025-02-17T00:00:00"/>
    <x v="2"/>
    <x v="0"/>
    <x v="2"/>
    <x v="0"/>
    <x v="2"/>
    <x v="13"/>
    <x v="5"/>
    <x v="2"/>
  </r>
  <r>
    <s v="TX500875"/>
    <x v="2"/>
    <x v="1"/>
    <x v="331"/>
    <n v="167.2"/>
    <d v="2025-02-05T00:00:00"/>
    <d v="2025-02-11T00:00:00"/>
    <x v="2"/>
    <x v="1"/>
    <x v="0"/>
    <x v="0"/>
    <x v="3"/>
    <x v="4"/>
    <x v="5"/>
    <x v="2"/>
  </r>
  <r>
    <s v="TX500876"/>
    <x v="7"/>
    <x v="13"/>
    <x v="570"/>
    <n v="201.60000000000002"/>
    <d v="2025-02-06T00:00:00"/>
    <d v="2025-02-07T00:00:00"/>
    <x v="2"/>
    <x v="3"/>
    <x v="0"/>
    <x v="0"/>
    <x v="3"/>
    <x v="3"/>
    <x v="5"/>
    <x v="2"/>
  </r>
  <r>
    <s v="TX500877"/>
    <x v="7"/>
    <x v="1"/>
    <x v="337"/>
    <n v="129.4"/>
    <d v="2025-02-06T00:00:00"/>
    <d v="2025-02-08T00:00:00"/>
    <x v="1"/>
    <x v="1"/>
    <x v="2"/>
    <x v="0"/>
    <x v="3"/>
    <x v="1"/>
    <x v="5"/>
    <x v="1"/>
  </r>
  <r>
    <s v="TX500878"/>
    <x v="0"/>
    <x v="2"/>
    <x v="137"/>
    <n v="47.099999999999994"/>
    <d v="2025-02-06T00:00:00"/>
    <d v="2025-02-12T00:00:00"/>
    <x v="2"/>
    <x v="0"/>
    <x v="0"/>
    <x v="0"/>
    <x v="3"/>
    <x v="4"/>
    <x v="5"/>
    <x v="2"/>
  </r>
  <r>
    <s v="TX500879"/>
    <x v="15"/>
    <x v="13"/>
    <x v="183"/>
    <n v="296.39999999999998"/>
    <d v="2025-02-06T00:00:00"/>
    <d v="2025-02-06T00:00:00"/>
    <x v="1"/>
    <x v="1"/>
    <x v="0"/>
    <x v="0"/>
    <x v="3"/>
    <x v="7"/>
    <x v="5"/>
    <x v="1"/>
  </r>
  <r>
    <s v="TX500880"/>
    <x v="10"/>
    <x v="13"/>
    <x v="571"/>
    <n v="222"/>
    <d v="2025-02-06T00:00:00"/>
    <d v="2025-02-09T00:00:00"/>
    <x v="2"/>
    <x v="1"/>
    <x v="2"/>
    <x v="0"/>
    <x v="3"/>
    <x v="2"/>
    <x v="5"/>
    <x v="2"/>
  </r>
  <r>
    <s v="TX500881"/>
    <x v="2"/>
    <x v="1"/>
    <x v="371"/>
    <n v="167.4"/>
    <d v="2025-02-06T00:00:00"/>
    <d v="2025-02-08T00:00:00"/>
    <x v="2"/>
    <x v="3"/>
    <x v="2"/>
    <x v="0"/>
    <x v="3"/>
    <x v="1"/>
    <x v="5"/>
    <x v="2"/>
  </r>
  <r>
    <s v="TX500882"/>
    <x v="1"/>
    <x v="9"/>
    <x v="334"/>
    <n v="175.5"/>
    <d v="2025-02-06T00:00:00"/>
    <d v="2025-02-07T00:00:00"/>
    <x v="2"/>
    <x v="0"/>
    <x v="0"/>
    <x v="0"/>
    <x v="3"/>
    <x v="3"/>
    <x v="5"/>
    <x v="2"/>
  </r>
  <r>
    <s v="TX500883"/>
    <x v="16"/>
    <x v="8"/>
    <x v="326"/>
    <n v="592"/>
    <d v="2025-02-06T00:00:00"/>
    <d v="2025-02-07T00:00:00"/>
    <x v="2"/>
    <x v="4"/>
    <x v="0"/>
    <x v="0"/>
    <x v="37"/>
    <x v="3"/>
    <x v="5"/>
    <x v="2"/>
  </r>
  <r>
    <s v="TX500884"/>
    <x v="6"/>
    <x v="25"/>
    <x v="572"/>
    <n v="1332"/>
    <d v="2025-02-06T00:00:00"/>
    <d v="2025-02-09T00:00:00"/>
    <x v="1"/>
    <x v="3"/>
    <x v="0"/>
    <x v="0"/>
    <x v="49"/>
    <x v="2"/>
    <x v="5"/>
    <x v="1"/>
  </r>
  <r>
    <s v="TX500885"/>
    <x v="11"/>
    <x v="1"/>
    <x v="400"/>
    <n v="77.8"/>
    <d v="2025-02-06T00:00:00"/>
    <d v="2025-02-08T00:00:00"/>
    <x v="2"/>
    <x v="1"/>
    <x v="2"/>
    <x v="0"/>
    <x v="25"/>
    <x v="1"/>
    <x v="5"/>
    <x v="2"/>
  </r>
  <r>
    <s v="TX500886"/>
    <x v="16"/>
    <x v="1"/>
    <x v="554"/>
    <n v="129.19999999999999"/>
    <d v="2025-02-06T00:00:00"/>
    <d v="2025-02-13T00:00:00"/>
    <x v="1"/>
    <x v="2"/>
    <x v="1"/>
    <x v="0"/>
    <x v="25"/>
    <x v="6"/>
    <x v="5"/>
    <x v="1"/>
  </r>
  <r>
    <s v="TX500887"/>
    <x v="2"/>
    <x v="2"/>
    <x v="573"/>
    <n v="285.89999999999998"/>
    <d v="2025-02-06T00:00:00"/>
    <d v="2025-02-07T00:00:00"/>
    <x v="1"/>
    <x v="0"/>
    <x v="0"/>
    <x v="0"/>
    <x v="5"/>
    <x v="3"/>
    <x v="5"/>
    <x v="1"/>
  </r>
  <r>
    <s v="TX500888"/>
    <x v="13"/>
    <x v="2"/>
    <x v="136"/>
    <n v="77.400000000000006"/>
    <d v="2025-02-06T00:00:00"/>
    <d v="2025-02-07T00:00:00"/>
    <x v="2"/>
    <x v="1"/>
    <x v="1"/>
    <x v="0"/>
    <x v="6"/>
    <x v="3"/>
    <x v="5"/>
    <x v="2"/>
  </r>
  <r>
    <s v="TX500889"/>
    <x v="0"/>
    <x v="1"/>
    <x v="463"/>
    <n v="23.2"/>
    <d v="2025-02-06T00:00:00"/>
    <d v="2025-02-10T00:00:00"/>
    <x v="2"/>
    <x v="1"/>
    <x v="1"/>
    <x v="0"/>
    <x v="6"/>
    <x v="5"/>
    <x v="5"/>
    <x v="2"/>
  </r>
  <r>
    <s v="TX500890"/>
    <x v="7"/>
    <x v="0"/>
    <x v="574"/>
    <n v="52.3"/>
    <d v="2025-02-06T00:00:00"/>
    <d v="2025-02-07T00:00:00"/>
    <x v="2"/>
    <x v="1"/>
    <x v="0"/>
    <x v="0"/>
    <x v="8"/>
    <x v="3"/>
    <x v="5"/>
    <x v="2"/>
  </r>
  <r>
    <s v="TX500891"/>
    <x v="2"/>
    <x v="7"/>
    <x v="575"/>
    <n v="1122"/>
    <d v="2025-02-06T00:00:00"/>
    <d v="2025-02-07T00:00:00"/>
    <x v="2"/>
    <x v="1"/>
    <x v="1"/>
    <x v="0"/>
    <x v="8"/>
    <x v="3"/>
    <x v="5"/>
    <x v="2"/>
  </r>
  <r>
    <s v="TX500892"/>
    <x v="4"/>
    <x v="9"/>
    <x v="292"/>
    <n v="173"/>
    <d v="2025-02-06T00:00:00"/>
    <d v="2025-02-08T00:00:00"/>
    <x v="1"/>
    <x v="2"/>
    <x v="0"/>
    <x v="0"/>
    <x v="8"/>
    <x v="1"/>
    <x v="5"/>
    <x v="1"/>
  </r>
  <r>
    <s v="TX500893"/>
    <x v="14"/>
    <x v="12"/>
    <x v="260"/>
    <n v="80.400000000000006"/>
    <d v="2025-02-06T00:00:00"/>
    <d v="2025-02-12T00:00:00"/>
    <x v="1"/>
    <x v="1"/>
    <x v="2"/>
    <x v="0"/>
    <x v="8"/>
    <x v="4"/>
    <x v="5"/>
    <x v="1"/>
  </r>
  <r>
    <s v="TX500894"/>
    <x v="2"/>
    <x v="12"/>
    <x v="576"/>
    <n v="225.6"/>
    <d v="2025-02-06T00:00:00"/>
    <d v="2025-02-08T00:00:00"/>
    <x v="2"/>
    <x v="2"/>
    <x v="0"/>
    <x v="0"/>
    <x v="10"/>
    <x v="1"/>
    <x v="5"/>
    <x v="2"/>
  </r>
  <r>
    <s v="TX500895"/>
    <x v="13"/>
    <x v="11"/>
    <x v="6"/>
    <n v="497.7"/>
    <d v="2025-02-06T00:00:00"/>
    <d v="2025-02-08T00:00:00"/>
    <x v="2"/>
    <x v="1"/>
    <x v="4"/>
    <x v="0"/>
    <x v="11"/>
    <x v="1"/>
    <x v="5"/>
    <x v="2"/>
  </r>
  <r>
    <s v="TX500896"/>
    <x v="2"/>
    <x v="31"/>
    <x v="577"/>
    <n v="2114"/>
    <d v="2025-02-06T00:00:00"/>
    <d v="2025-02-07T00:00:00"/>
    <x v="2"/>
    <x v="0"/>
    <x v="0"/>
    <x v="0"/>
    <x v="11"/>
    <x v="3"/>
    <x v="5"/>
    <x v="2"/>
  </r>
  <r>
    <s v="TX500897"/>
    <x v="8"/>
    <x v="0"/>
    <x v="174"/>
    <n v="23.6"/>
    <d v="2025-02-06T00:00:00"/>
    <d v="2025-02-11T00:00:00"/>
    <x v="2"/>
    <x v="0"/>
    <x v="0"/>
    <x v="0"/>
    <x v="19"/>
    <x v="0"/>
    <x v="5"/>
    <x v="2"/>
  </r>
  <r>
    <s v="TX500898"/>
    <x v="9"/>
    <x v="1"/>
    <x v="578"/>
    <n v="141.4"/>
    <d v="2025-02-06T00:00:00"/>
    <d v="2025-02-08T00:00:00"/>
    <x v="2"/>
    <x v="2"/>
    <x v="0"/>
    <x v="0"/>
    <x v="19"/>
    <x v="1"/>
    <x v="5"/>
    <x v="2"/>
  </r>
  <r>
    <s v="TX500899"/>
    <x v="12"/>
    <x v="1"/>
    <x v="522"/>
    <n v="86.4"/>
    <d v="2025-02-06T00:00:00"/>
    <d v="2025-02-07T00:00:00"/>
    <x v="2"/>
    <x v="2"/>
    <x v="0"/>
    <x v="0"/>
    <x v="31"/>
    <x v="3"/>
    <x v="5"/>
    <x v="2"/>
  </r>
  <r>
    <s v="TX500900"/>
    <x v="9"/>
    <x v="11"/>
    <x v="579"/>
    <n v="630"/>
    <d v="2025-02-06T00:00:00"/>
    <d v="2025-02-07T00:00:00"/>
    <x v="0"/>
    <x v="1"/>
    <x v="0"/>
    <x v="0"/>
    <x v="52"/>
    <x v="3"/>
    <x v="5"/>
    <x v="0"/>
  </r>
  <r>
    <s v="TX500901"/>
    <x v="0"/>
    <x v="1"/>
    <x v="580"/>
    <n v="41"/>
    <d v="2025-02-06T00:00:00"/>
    <d v="2025-02-08T00:00:00"/>
    <x v="2"/>
    <x v="2"/>
    <x v="4"/>
    <x v="0"/>
    <x v="13"/>
    <x v="1"/>
    <x v="5"/>
    <x v="2"/>
  </r>
  <r>
    <s v="TX500902"/>
    <x v="0"/>
    <x v="12"/>
    <x v="581"/>
    <n v="116.4"/>
    <d v="2025-02-06T00:00:00"/>
    <d v="2025-02-07T00:00:00"/>
    <x v="2"/>
    <x v="3"/>
    <x v="0"/>
    <x v="0"/>
    <x v="28"/>
    <x v="3"/>
    <x v="5"/>
    <x v="2"/>
  </r>
  <r>
    <s v="TX500903"/>
    <x v="6"/>
    <x v="11"/>
    <x v="582"/>
    <n v="482.40000000000003"/>
    <d v="2025-02-06T00:00:00"/>
    <d v="2025-02-07T00:00:00"/>
    <x v="1"/>
    <x v="2"/>
    <x v="1"/>
    <x v="0"/>
    <x v="3"/>
    <x v="3"/>
    <x v="5"/>
    <x v="1"/>
  </r>
  <r>
    <s v="TX500904"/>
    <x v="6"/>
    <x v="9"/>
    <x v="583"/>
    <n v="361.5"/>
    <d v="2025-02-06T00:00:00"/>
    <d v="2025-02-08T00:00:00"/>
    <x v="2"/>
    <x v="1"/>
    <x v="0"/>
    <x v="0"/>
    <x v="3"/>
    <x v="1"/>
    <x v="5"/>
    <x v="2"/>
  </r>
  <r>
    <s v="TX500905"/>
    <x v="13"/>
    <x v="12"/>
    <x v="351"/>
    <n v="90.4"/>
    <d v="2025-02-06T00:00:00"/>
    <d v="2025-02-09T00:00:00"/>
    <x v="3"/>
    <x v="0"/>
    <x v="1"/>
    <x v="0"/>
    <x v="3"/>
    <x v="2"/>
    <x v="5"/>
    <x v="3"/>
  </r>
  <r>
    <s v="TX500906"/>
    <x v="9"/>
    <x v="1"/>
    <x v="236"/>
    <n v="88.4"/>
    <d v="2025-02-06T00:00:00"/>
    <d v="2025-02-10T00:00:00"/>
    <x v="0"/>
    <x v="2"/>
    <x v="4"/>
    <x v="0"/>
    <x v="3"/>
    <x v="5"/>
    <x v="5"/>
    <x v="0"/>
  </r>
  <r>
    <s v="TX500907"/>
    <x v="9"/>
    <x v="2"/>
    <x v="252"/>
    <n v="282.29999999999995"/>
    <d v="2025-02-06T00:00:00"/>
    <d v="2025-02-19T00:00:00"/>
    <x v="2"/>
    <x v="2"/>
    <x v="2"/>
    <x v="0"/>
    <x v="3"/>
    <x v="10"/>
    <x v="5"/>
    <x v="2"/>
  </r>
  <r>
    <s v="TX500908"/>
    <x v="8"/>
    <x v="2"/>
    <x v="71"/>
    <n v="53.699999999999996"/>
    <d v="2025-02-06T00:00:00"/>
    <d v="2025-02-08T00:00:00"/>
    <x v="1"/>
    <x v="1"/>
    <x v="1"/>
    <x v="0"/>
    <x v="3"/>
    <x v="1"/>
    <x v="5"/>
    <x v="1"/>
  </r>
  <r>
    <s v="TX500909"/>
    <x v="12"/>
    <x v="3"/>
    <x v="119"/>
    <n v="368.90000000000003"/>
    <d v="2025-02-06T00:00:00"/>
    <d v="2025-02-07T00:00:00"/>
    <x v="1"/>
    <x v="1"/>
    <x v="1"/>
    <x v="0"/>
    <x v="3"/>
    <x v="3"/>
    <x v="5"/>
    <x v="1"/>
  </r>
  <r>
    <s v="TX500910"/>
    <x v="8"/>
    <x v="0"/>
    <x v="78"/>
    <n v="36.799999999999997"/>
    <d v="2025-02-06T00:00:00"/>
    <d v="2025-02-06T00:00:00"/>
    <x v="0"/>
    <x v="0"/>
    <x v="2"/>
    <x v="0"/>
    <x v="3"/>
    <x v="7"/>
    <x v="5"/>
    <x v="0"/>
  </r>
  <r>
    <s v="TX500911"/>
    <x v="4"/>
    <x v="0"/>
    <x v="166"/>
    <n v="52.5"/>
    <d v="2025-02-06T00:00:00"/>
    <d v="2025-02-07T00:00:00"/>
    <x v="1"/>
    <x v="0"/>
    <x v="1"/>
    <x v="0"/>
    <x v="6"/>
    <x v="3"/>
    <x v="5"/>
    <x v="1"/>
  </r>
  <r>
    <s v="TX500912"/>
    <x v="2"/>
    <x v="1"/>
    <x v="584"/>
    <n v="267.60000000000002"/>
    <d v="2025-02-06T00:00:00"/>
    <d v="2025-02-08T00:00:00"/>
    <x v="1"/>
    <x v="0"/>
    <x v="1"/>
    <x v="0"/>
    <x v="7"/>
    <x v="1"/>
    <x v="5"/>
    <x v="1"/>
  </r>
  <r>
    <s v="TX500913"/>
    <x v="6"/>
    <x v="1"/>
    <x v="459"/>
    <n v="106.4"/>
    <d v="2025-02-06T00:00:00"/>
    <d v="2025-02-08T00:00:00"/>
    <x v="1"/>
    <x v="0"/>
    <x v="0"/>
    <x v="0"/>
    <x v="17"/>
    <x v="1"/>
    <x v="5"/>
    <x v="1"/>
  </r>
  <r>
    <s v="TX500914"/>
    <x v="14"/>
    <x v="13"/>
    <x v="585"/>
    <n v="112.19999999999999"/>
    <d v="2025-02-06T00:00:00"/>
    <d v="2025-02-08T00:00:00"/>
    <x v="0"/>
    <x v="0"/>
    <x v="1"/>
    <x v="0"/>
    <x v="10"/>
    <x v="1"/>
    <x v="5"/>
    <x v="0"/>
  </r>
  <r>
    <s v="TX500915"/>
    <x v="6"/>
    <x v="12"/>
    <x v="586"/>
    <n v="435.2"/>
    <d v="2025-02-06T00:00:00"/>
    <d v="2025-02-07T00:00:00"/>
    <x v="2"/>
    <x v="3"/>
    <x v="2"/>
    <x v="0"/>
    <x v="11"/>
    <x v="3"/>
    <x v="5"/>
    <x v="2"/>
  </r>
  <r>
    <s v="TX500916"/>
    <x v="15"/>
    <x v="9"/>
    <x v="153"/>
    <n v="192.5"/>
    <d v="2025-02-06T00:00:00"/>
    <d v="2025-02-10T00:00:00"/>
    <x v="2"/>
    <x v="0"/>
    <x v="1"/>
    <x v="0"/>
    <x v="14"/>
    <x v="5"/>
    <x v="5"/>
    <x v="2"/>
  </r>
  <r>
    <s v="TX500917"/>
    <x v="10"/>
    <x v="7"/>
    <x v="587"/>
    <n v="465"/>
    <d v="2025-02-06T00:00:00"/>
    <d v="2025-02-08T00:00:00"/>
    <x v="1"/>
    <x v="2"/>
    <x v="1"/>
    <x v="0"/>
    <x v="2"/>
    <x v="1"/>
    <x v="5"/>
    <x v="1"/>
  </r>
  <r>
    <s v="TX500918"/>
    <x v="2"/>
    <x v="2"/>
    <x v="124"/>
    <n v="227.39999999999998"/>
    <d v="2025-02-06T00:00:00"/>
    <d v="2025-02-10T00:00:00"/>
    <x v="2"/>
    <x v="1"/>
    <x v="4"/>
    <x v="0"/>
    <x v="44"/>
    <x v="5"/>
    <x v="5"/>
    <x v="2"/>
  </r>
  <r>
    <s v="TX500919"/>
    <x v="8"/>
    <x v="0"/>
    <x v="588"/>
    <n v="20.9"/>
    <d v="2025-02-06T00:00:00"/>
    <d v="2025-02-10T00:00:00"/>
    <x v="1"/>
    <x v="0"/>
    <x v="0"/>
    <x v="0"/>
    <x v="22"/>
    <x v="5"/>
    <x v="5"/>
    <x v="1"/>
  </r>
  <r>
    <s v="TX500920"/>
    <x v="18"/>
    <x v="2"/>
    <x v="68"/>
    <n v="142.19999999999999"/>
    <d v="2025-02-06T00:00:00"/>
    <d v="2025-02-09T00:00:00"/>
    <x v="2"/>
    <x v="0"/>
    <x v="0"/>
    <x v="0"/>
    <x v="3"/>
    <x v="2"/>
    <x v="5"/>
    <x v="2"/>
  </r>
  <r>
    <s v="TX500921"/>
    <x v="9"/>
    <x v="1"/>
    <x v="589"/>
    <n v="107.6"/>
    <d v="2025-02-06T00:00:00"/>
    <d v="2025-02-07T00:00:00"/>
    <x v="0"/>
    <x v="0"/>
    <x v="1"/>
    <x v="0"/>
    <x v="3"/>
    <x v="3"/>
    <x v="5"/>
    <x v="0"/>
  </r>
  <r>
    <s v="TX500922"/>
    <x v="8"/>
    <x v="2"/>
    <x v="362"/>
    <n v="73.800000000000011"/>
    <d v="2025-02-06T00:00:00"/>
    <d v="2025-02-08T00:00:00"/>
    <x v="3"/>
    <x v="1"/>
    <x v="2"/>
    <x v="0"/>
    <x v="3"/>
    <x v="1"/>
    <x v="5"/>
    <x v="3"/>
  </r>
  <r>
    <s v="TX500923"/>
    <x v="9"/>
    <x v="2"/>
    <x v="45"/>
    <n v="212.70000000000002"/>
    <d v="2025-02-06T00:00:00"/>
    <d v="2025-02-11T00:00:00"/>
    <x v="2"/>
    <x v="2"/>
    <x v="2"/>
    <x v="0"/>
    <x v="3"/>
    <x v="0"/>
    <x v="5"/>
    <x v="2"/>
  </r>
  <r>
    <s v="TX500924"/>
    <x v="17"/>
    <x v="2"/>
    <x v="590"/>
    <n v="95.699999999999989"/>
    <d v="2025-02-06T00:00:00"/>
    <d v="2025-02-08T00:00:00"/>
    <x v="2"/>
    <x v="2"/>
    <x v="2"/>
    <x v="0"/>
    <x v="3"/>
    <x v="1"/>
    <x v="5"/>
    <x v="2"/>
  </r>
  <r>
    <s v="TX500925"/>
    <x v="0"/>
    <x v="1"/>
    <x v="293"/>
    <n v="40.799999999999997"/>
    <d v="2025-02-06T00:00:00"/>
    <d v="2025-02-10T00:00:00"/>
    <x v="1"/>
    <x v="3"/>
    <x v="2"/>
    <x v="0"/>
    <x v="3"/>
    <x v="5"/>
    <x v="5"/>
    <x v="1"/>
  </r>
  <r>
    <s v="TX500926"/>
    <x v="8"/>
    <x v="1"/>
    <x v="465"/>
    <n v="37.200000000000003"/>
    <d v="2025-02-06T00:00:00"/>
    <d v="2025-02-08T00:00:00"/>
    <x v="0"/>
    <x v="0"/>
    <x v="1"/>
    <x v="0"/>
    <x v="3"/>
    <x v="1"/>
    <x v="5"/>
    <x v="0"/>
  </r>
  <r>
    <s v="TX500927"/>
    <x v="4"/>
    <x v="9"/>
    <x v="591"/>
    <n v="241.5"/>
    <d v="2025-02-06T00:00:00"/>
    <d v="2025-02-08T00:00:00"/>
    <x v="2"/>
    <x v="1"/>
    <x v="0"/>
    <x v="0"/>
    <x v="3"/>
    <x v="1"/>
    <x v="5"/>
    <x v="2"/>
  </r>
  <r>
    <s v="TX500928"/>
    <x v="0"/>
    <x v="12"/>
    <x v="389"/>
    <n v="110.8"/>
    <d v="2025-02-06T00:00:00"/>
    <d v="2025-02-08T00:00:00"/>
    <x v="2"/>
    <x v="0"/>
    <x v="0"/>
    <x v="0"/>
    <x v="3"/>
    <x v="1"/>
    <x v="5"/>
    <x v="2"/>
  </r>
  <r>
    <s v="TX500929"/>
    <x v="4"/>
    <x v="9"/>
    <x v="243"/>
    <n v="112.5"/>
    <d v="2025-02-06T00:00:00"/>
    <d v="2025-02-08T00:00:00"/>
    <x v="2"/>
    <x v="4"/>
    <x v="2"/>
    <x v="0"/>
    <x v="3"/>
    <x v="1"/>
    <x v="5"/>
    <x v="2"/>
  </r>
  <r>
    <s v="TX500930"/>
    <x v="17"/>
    <x v="9"/>
    <x v="592"/>
    <n v="108"/>
    <d v="2025-02-06T00:00:00"/>
    <d v="2025-02-14T00:00:00"/>
    <x v="2"/>
    <x v="0"/>
    <x v="1"/>
    <x v="0"/>
    <x v="3"/>
    <x v="9"/>
    <x v="5"/>
    <x v="2"/>
  </r>
  <r>
    <s v="TX500931"/>
    <x v="10"/>
    <x v="3"/>
    <x v="133"/>
    <n v="184.1"/>
    <d v="2025-02-06T00:00:00"/>
    <d v="2025-02-06T00:00:00"/>
    <x v="2"/>
    <x v="2"/>
    <x v="1"/>
    <x v="0"/>
    <x v="3"/>
    <x v="7"/>
    <x v="5"/>
    <x v="2"/>
  </r>
  <r>
    <s v="TX500932"/>
    <x v="6"/>
    <x v="3"/>
    <x v="593"/>
    <n v="721"/>
    <d v="2025-02-07T00:00:00"/>
    <d v="2025-02-08T00:00:00"/>
    <x v="1"/>
    <x v="0"/>
    <x v="2"/>
    <x v="0"/>
    <x v="6"/>
    <x v="3"/>
    <x v="5"/>
    <x v="1"/>
  </r>
  <r>
    <s v="TX500933"/>
    <x v="5"/>
    <x v="20"/>
    <x v="594"/>
    <n v="699"/>
    <d v="2025-02-07T00:00:00"/>
    <d v="2025-02-08T00:00:00"/>
    <x v="2"/>
    <x v="0"/>
    <x v="1"/>
    <x v="0"/>
    <x v="6"/>
    <x v="3"/>
    <x v="5"/>
    <x v="2"/>
  </r>
  <r>
    <s v="TX500934"/>
    <x v="0"/>
    <x v="9"/>
    <x v="380"/>
    <n v="161"/>
    <d v="2025-02-07T00:00:00"/>
    <d v="2025-02-10T00:00:00"/>
    <x v="2"/>
    <x v="0"/>
    <x v="2"/>
    <x v="0"/>
    <x v="36"/>
    <x v="2"/>
    <x v="5"/>
    <x v="2"/>
  </r>
  <r>
    <s v="TX500935"/>
    <x v="8"/>
    <x v="2"/>
    <x v="595"/>
    <n v="66"/>
    <d v="2025-02-07T00:00:00"/>
    <d v="2025-02-14T00:00:00"/>
    <x v="1"/>
    <x v="1"/>
    <x v="0"/>
    <x v="0"/>
    <x v="7"/>
    <x v="6"/>
    <x v="5"/>
    <x v="1"/>
  </r>
  <r>
    <s v="TX500936"/>
    <x v="0"/>
    <x v="1"/>
    <x v="19"/>
    <n v="50.4"/>
    <d v="2025-02-07T00:00:00"/>
    <d v="2025-02-11T00:00:00"/>
    <x v="2"/>
    <x v="0"/>
    <x v="0"/>
    <x v="0"/>
    <x v="7"/>
    <x v="5"/>
    <x v="5"/>
    <x v="2"/>
  </r>
  <r>
    <s v="TX500937"/>
    <x v="1"/>
    <x v="13"/>
    <x v="596"/>
    <n v="412.20000000000005"/>
    <d v="2025-02-07T00:00:00"/>
    <d v="2025-02-09T00:00:00"/>
    <x v="1"/>
    <x v="4"/>
    <x v="0"/>
    <x v="0"/>
    <x v="8"/>
    <x v="1"/>
    <x v="5"/>
    <x v="1"/>
  </r>
  <r>
    <s v="TX500938"/>
    <x v="0"/>
    <x v="2"/>
    <x v="597"/>
    <n v="66.599999999999994"/>
    <d v="2025-02-07T00:00:00"/>
    <d v="2025-02-10T00:00:00"/>
    <x v="1"/>
    <x v="2"/>
    <x v="2"/>
    <x v="0"/>
    <x v="8"/>
    <x v="2"/>
    <x v="5"/>
    <x v="1"/>
  </r>
  <r>
    <s v="TX500939"/>
    <x v="1"/>
    <x v="3"/>
    <x v="307"/>
    <n v="252"/>
    <d v="2025-02-07T00:00:00"/>
    <d v="2025-02-08T00:00:00"/>
    <x v="2"/>
    <x v="1"/>
    <x v="0"/>
    <x v="0"/>
    <x v="8"/>
    <x v="3"/>
    <x v="5"/>
    <x v="2"/>
  </r>
  <r>
    <s v="TX500940"/>
    <x v="18"/>
    <x v="0"/>
    <x v="79"/>
    <n v="50.6"/>
    <d v="2025-02-07T00:00:00"/>
    <d v="2025-02-09T00:00:00"/>
    <x v="2"/>
    <x v="0"/>
    <x v="1"/>
    <x v="0"/>
    <x v="8"/>
    <x v="1"/>
    <x v="5"/>
    <x v="2"/>
  </r>
  <r>
    <s v="TX500941"/>
    <x v="15"/>
    <x v="1"/>
    <x v="125"/>
    <n v="89.8"/>
    <d v="2025-02-07T00:00:00"/>
    <d v="2025-02-09T00:00:00"/>
    <x v="1"/>
    <x v="0"/>
    <x v="1"/>
    <x v="0"/>
    <x v="8"/>
    <x v="1"/>
    <x v="5"/>
    <x v="1"/>
  </r>
  <r>
    <s v="TX500942"/>
    <x v="6"/>
    <x v="2"/>
    <x v="598"/>
    <n v="214.79999999999998"/>
    <d v="2025-02-07T00:00:00"/>
    <d v="2025-02-11T00:00:00"/>
    <x v="1"/>
    <x v="1"/>
    <x v="2"/>
    <x v="0"/>
    <x v="10"/>
    <x v="5"/>
    <x v="5"/>
    <x v="1"/>
  </r>
  <r>
    <s v="TX500943"/>
    <x v="6"/>
    <x v="13"/>
    <x v="599"/>
    <n v="309"/>
    <d v="2025-02-07T00:00:00"/>
    <d v="2025-02-09T00:00:00"/>
    <x v="0"/>
    <x v="4"/>
    <x v="0"/>
    <x v="0"/>
    <x v="11"/>
    <x v="1"/>
    <x v="5"/>
    <x v="0"/>
  </r>
  <r>
    <s v="TX500944"/>
    <x v="7"/>
    <x v="9"/>
    <x v="572"/>
    <n v="277.5"/>
    <d v="2025-02-07T00:00:00"/>
    <d v="2025-02-08T00:00:00"/>
    <x v="1"/>
    <x v="1"/>
    <x v="1"/>
    <x v="0"/>
    <x v="11"/>
    <x v="3"/>
    <x v="5"/>
    <x v="1"/>
  </r>
  <r>
    <s v="TX500945"/>
    <x v="6"/>
    <x v="0"/>
    <x v="309"/>
    <n v="51.7"/>
    <d v="2025-02-07T00:00:00"/>
    <d v="2025-02-21T00:00:00"/>
    <x v="1"/>
    <x v="2"/>
    <x v="0"/>
    <x v="0"/>
    <x v="19"/>
    <x v="12"/>
    <x v="5"/>
    <x v="1"/>
  </r>
  <r>
    <s v="TX500946"/>
    <x v="8"/>
    <x v="38"/>
    <x v="600"/>
    <n v="955.5"/>
    <d v="2025-02-07T00:00:00"/>
    <d v="2025-02-08T00:00:00"/>
    <x v="2"/>
    <x v="3"/>
    <x v="2"/>
    <x v="0"/>
    <x v="19"/>
    <x v="3"/>
    <x v="5"/>
    <x v="2"/>
  </r>
  <r>
    <s v="TX500947"/>
    <x v="8"/>
    <x v="1"/>
    <x v="601"/>
    <n v="67.599999999999994"/>
    <d v="2025-02-07T00:00:00"/>
    <d v="2025-02-13T00:00:00"/>
    <x v="2"/>
    <x v="3"/>
    <x v="0"/>
    <x v="0"/>
    <x v="20"/>
    <x v="4"/>
    <x v="5"/>
    <x v="2"/>
  </r>
  <r>
    <s v="TX500948"/>
    <x v="3"/>
    <x v="2"/>
    <x v="107"/>
    <n v="229.5"/>
    <d v="2025-02-07T00:00:00"/>
    <d v="2025-02-08T00:00:00"/>
    <x v="2"/>
    <x v="0"/>
    <x v="1"/>
    <x v="0"/>
    <x v="21"/>
    <x v="3"/>
    <x v="5"/>
    <x v="2"/>
  </r>
  <r>
    <s v="TX500949"/>
    <x v="9"/>
    <x v="2"/>
    <x v="325"/>
    <n v="127.80000000000001"/>
    <d v="2025-02-07T00:00:00"/>
    <d v="2025-02-13T00:00:00"/>
    <x v="2"/>
    <x v="2"/>
    <x v="2"/>
    <x v="0"/>
    <x v="2"/>
    <x v="4"/>
    <x v="5"/>
    <x v="2"/>
  </r>
  <r>
    <s v="TX500950"/>
    <x v="6"/>
    <x v="2"/>
    <x v="369"/>
    <n v="132.30000000000001"/>
    <d v="2025-02-07T00:00:00"/>
    <d v="2025-02-09T00:00:00"/>
    <x v="2"/>
    <x v="1"/>
    <x v="1"/>
    <x v="0"/>
    <x v="22"/>
    <x v="1"/>
    <x v="5"/>
    <x v="2"/>
  </r>
  <r>
    <s v="TX500951"/>
    <x v="8"/>
    <x v="1"/>
    <x v="446"/>
    <n v="81.8"/>
    <d v="2025-02-07T00:00:00"/>
    <d v="2025-02-11T00:00:00"/>
    <x v="1"/>
    <x v="0"/>
    <x v="0"/>
    <x v="0"/>
    <x v="3"/>
    <x v="5"/>
    <x v="5"/>
    <x v="1"/>
  </r>
  <r>
    <s v="TX500952"/>
    <x v="9"/>
    <x v="2"/>
    <x v="182"/>
    <n v="147.30000000000001"/>
    <d v="2025-02-07T00:00:00"/>
    <d v="2025-02-11T00:00:00"/>
    <x v="2"/>
    <x v="3"/>
    <x v="1"/>
    <x v="0"/>
    <x v="3"/>
    <x v="5"/>
    <x v="5"/>
    <x v="2"/>
  </r>
  <r>
    <s v="TX500953"/>
    <x v="18"/>
    <x v="0"/>
    <x v="602"/>
    <n v="85.3"/>
    <d v="2025-02-07T00:00:00"/>
    <d v="2025-02-11T00:00:00"/>
    <x v="1"/>
    <x v="1"/>
    <x v="1"/>
    <x v="0"/>
    <x v="3"/>
    <x v="5"/>
    <x v="5"/>
    <x v="1"/>
  </r>
  <r>
    <s v="TX500954"/>
    <x v="6"/>
    <x v="12"/>
    <x v="39"/>
    <n v="172.4"/>
    <d v="2025-02-08T00:00:00"/>
    <d v="2025-02-11T00:00:00"/>
    <x v="1"/>
    <x v="0"/>
    <x v="0"/>
    <x v="0"/>
    <x v="3"/>
    <x v="2"/>
    <x v="5"/>
    <x v="1"/>
  </r>
  <r>
    <s v="TX500955"/>
    <x v="4"/>
    <x v="12"/>
    <x v="193"/>
    <n v="184.8"/>
    <d v="2025-02-08T00:00:00"/>
    <d v="2025-02-09T00:00:00"/>
    <x v="1"/>
    <x v="2"/>
    <x v="0"/>
    <x v="0"/>
    <x v="3"/>
    <x v="3"/>
    <x v="5"/>
    <x v="1"/>
  </r>
  <r>
    <s v="TX500956"/>
    <x v="1"/>
    <x v="0"/>
    <x v="603"/>
    <n v="74.400000000000006"/>
    <d v="2025-02-08T00:00:00"/>
    <d v="2025-02-10T00:00:00"/>
    <x v="1"/>
    <x v="4"/>
    <x v="2"/>
    <x v="0"/>
    <x v="3"/>
    <x v="1"/>
    <x v="5"/>
    <x v="1"/>
  </r>
  <r>
    <s v="TX500957"/>
    <x v="17"/>
    <x v="1"/>
    <x v="440"/>
    <n v="102.4"/>
    <d v="2025-02-08T00:00:00"/>
    <d v="2025-02-09T00:00:00"/>
    <x v="1"/>
    <x v="1"/>
    <x v="0"/>
    <x v="0"/>
    <x v="3"/>
    <x v="3"/>
    <x v="5"/>
    <x v="1"/>
  </r>
  <r>
    <s v="TX500958"/>
    <x v="14"/>
    <x v="12"/>
    <x v="604"/>
    <n v="47.2"/>
    <d v="2025-02-08T00:00:00"/>
    <d v="2025-02-08T00:00:00"/>
    <x v="1"/>
    <x v="2"/>
    <x v="0"/>
    <x v="0"/>
    <x v="3"/>
    <x v="7"/>
    <x v="5"/>
    <x v="1"/>
  </r>
  <r>
    <s v="TX500959"/>
    <x v="10"/>
    <x v="6"/>
    <x v="363"/>
    <n v="1101.5999999999999"/>
    <d v="2025-02-08T00:00:00"/>
    <d v="2025-02-09T00:00:00"/>
    <x v="2"/>
    <x v="3"/>
    <x v="2"/>
    <x v="0"/>
    <x v="3"/>
    <x v="3"/>
    <x v="5"/>
    <x v="2"/>
  </r>
  <r>
    <s v="TX500960"/>
    <x v="8"/>
    <x v="0"/>
    <x v="605"/>
    <n v="24.7"/>
    <d v="2025-02-08T00:00:00"/>
    <d v="2025-02-10T00:00:00"/>
    <x v="2"/>
    <x v="2"/>
    <x v="1"/>
    <x v="0"/>
    <x v="3"/>
    <x v="1"/>
    <x v="5"/>
    <x v="2"/>
  </r>
  <r>
    <s v="TX500961"/>
    <x v="8"/>
    <x v="3"/>
    <x v="237"/>
    <n v="154.70000000000002"/>
    <d v="2025-02-08T00:00:00"/>
    <d v="2025-02-08T00:00:00"/>
    <x v="2"/>
    <x v="2"/>
    <x v="4"/>
    <x v="0"/>
    <x v="3"/>
    <x v="7"/>
    <x v="5"/>
    <x v="2"/>
  </r>
  <r>
    <s v="TX500962"/>
    <x v="8"/>
    <x v="0"/>
    <x v="606"/>
    <n v="18.100000000000001"/>
    <d v="2025-02-08T00:00:00"/>
    <d v="2025-02-12T00:00:00"/>
    <x v="1"/>
    <x v="3"/>
    <x v="2"/>
    <x v="0"/>
    <x v="3"/>
    <x v="5"/>
    <x v="5"/>
    <x v="1"/>
  </r>
  <r>
    <s v="TX500963"/>
    <x v="17"/>
    <x v="1"/>
    <x v="466"/>
    <n v="117.6"/>
    <d v="2025-02-08T00:00:00"/>
    <d v="2025-02-11T00:00:00"/>
    <x v="2"/>
    <x v="0"/>
    <x v="0"/>
    <x v="0"/>
    <x v="25"/>
    <x v="2"/>
    <x v="5"/>
    <x v="2"/>
  </r>
  <r>
    <s v="TX500964"/>
    <x v="18"/>
    <x v="1"/>
    <x v="607"/>
    <n v="61.6"/>
    <d v="2025-02-08T00:00:00"/>
    <d v="2025-02-09T00:00:00"/>
    <x v="2"/>
    <x v="0"/>
    <x v="0"/>
    <x v="0"/>
    <x v="6"/>
    <x v="3"/>
    <x v="5"/>
    <x v="2"/>
  </r>
  <r>
    <s v="TX500965"/>
    <x v="0"/>
    <x v="1"/>
    <x v="608"/>
    <n v="24"/>
    <d v="2025-02-08T00:00:00"/>
    <d v="2025-02-12T00:00:00"/>
    <x v="2"/>
    <x v="0"/>
    <x v="0"/>
    <x v="0"/>
    <x v="6"/>
    <x v="5"/>
    <x v="5"/>
    <x v="2"/>
  </r>
  <r>
    <s v="TX500966"/>
    <x v="0"/>
    <x v="12"/>
    <x v="609"/>
    <n v="54.4"/>
    <d v="2025-02-08T00:00:00"/>
    <d v="2025-02-11T00:00:00"/>
    <x v="1"/>
    <x v="2"/>
    <x v="0"/>
    <x v="0"/>
    <x v="6"/>
    <x v="2"/>
    <x v="5"/>
    <x v="1"/>
  </r>
  <r>
    <s v="TX500967"/>
    <x v="0"/>
    <x v="0"/>
    <x v="71"/>
    <n v="17.899999999999999"/>
    <d v="2025-02-08T00:00:00"/>
    <d v="2025-02-09T00:00:00"/>
    <x v="1"/>
    <x v="3"/>
    <x v="0"/>
    <x v="0"/>
    <x v="6"/>
    <x v="3"/>
    <x v="5"/>
    <x v="1"/>
  </r>
  <r>
    <s v="TX500968"/>
    <x v="9"/>
    <x v="1"/>
    <x v="392"/>
    <n v="77.2"/>
    <d v="2025-02-08T00:00:00"/>
    <d v="2025-02-12T00:00:00"/>
    <x v="2"/>
    <x v="4"/>
    <x v="0"/>
    <x v="0"/>
    <x v="7"/>
    <x v="5"/>
    <x v="5"/>
    <x v="2"/>
  </r>
  <r>
    <s v="TX500969"/>
    <x v="5"/>
    <x v="9"/>
    <x v="195"/>
    <n v="163.5"/>
    <d v="2025-02-08T00:00:00"/>
    <d v="2025-02-09T00:00:00"/>
    <x v="1"/>
    <x v="2"/>
    <x v="2"/>
    <x v="0"/>
    <x v="8"/>
    <x v="3"/>
    <x v="5"/>
    <x v="1"/>
  </r>
  <r>
    <s v="TX500970"/>
    <x v="3"/>
    <x v="1"/>
    <x v="610"/>
    <n v="222.8"/>
    <d v="2025-02-08T00:00:00"/>
    <d v="2025-02-09T00:00:00"/>
    <x v="2"/>
    <x v="1"/>
    <x v="0"/>
    <x v="0"/>
    <x v="8"/>
    <x v="3"/>
    <x v="5"/>
    <x v="2"/>
  </r>
  <r>
    <s v="TX500971"/>
    <x v="2"/>
    <x v="13"/>
    <x v="611"/>
    <n v="481.79999999999995"/>
    <d v="2025-02-08T00:00:00"/>
    <d v="2025-02-10T00:00:00"/>
    <x v="2"/>
    <x v="1"/>
    <x v="0"/>
    <x v="0"/>
    <x v="8"/>
    <x v="1"/>
    <x v="5"/>
    <x v="2"/>
  </r>
  <r>
    <s v="TX500972"/>
    <x v="6"/>
    <x v="1"/>
    <x v="395"/>
    <n v="117.8"/>
    <d v="2025-02-08T00:00:00"/>
    <d v="2025-02-09T00:00:00"/>
    <x v="1"/>
    <x v="1"/>
    <x v="0"/>
    <x v="0"/>
    <x v="8"/>
    <x v="3"/>
    <x v="5"/>
    <x v="1"/>
  </r>
  <r>
    <s v="TX500973"/>
    <x v="6"/>
    <x v="2"/>
    <x v="424"/>
    <n v="155.69999999999999"/>
    <d v="2025-02-08T00:00:00"/>
    <d v="2025-02-10T00:00:00"/>
    <x v="2"/>
    <x v="1"/>
    <x v="4"/>
    <x v="0"/>
    <x v="8"/>
    <x v="1"/>
    <x v="5"/>
    <x v="2"/>
  </r>
  <r>
    <s v="TX500974"/>
    <x v="2"/>
    <x v="2"/>
    <x v="612"/>
    <n v="150.89999999999998"/>
    <d v="2025-02-08T00:00:00"/>
    <d v="2025-02-09T00:00:00"/>
    <x v="1"/>
    <x v="2"/>
    <x v="0"/>
    <x v="0"/>
    <x v="17"/>
    <x v="3"/>
    <x v="5"/>
    <x v="1"/>
  </r>
  <r>
    <s v="TX500975"/>
    <x v="11"/>
    <x v="13"/>
    <x v="303"/>
    <n v="270"/>
    <d v="2025-02-08T00:00:00"/>
    <d v="2025-02-14T00:00:00"/>
    <x v="2"/>
    <x v="3"/>
    <x v="0"/>
    <x v="0"/>
    <x v="9"/>
    <x v="4"/>
    <x v="5"/>
    <x v="2"/>
  </r>
  <r>
    <s v="TX500976"/>
    <x v="10"/>
    <x v="13"/>
    <x v="613"/>
    <n v="268.20000000000005"/>
    <d v="2025-02-08T00:00:00"/>
    <d v="2025-02-10T00:00:00"/>
    <x v="2"/>
    <x v="2"/>
    <x v="0"/>
    <x v="0"/>
    <x v="11"/>
    <x v="1"/>
    <x v="5"/>
    <x v="2"/>
  </r>
  <r>
    <s v="TX500977"/>
    <x v="18"/>
    <x v="20"/>
    <x v="614"/>
    <n v="495"/>
    <d v="2025-02-08T00:00:00"/>
    <d v="2025-02-09T00:00:00"/>
    <x v="2"/>
    <x v="2"/>
    <x v="0"/>
    <x v="0"/>
    <x v="11"/>
    <x v="3"/>
    <x v="5"/>
    <x v="2"/>
  </r>
  <r>
    <s v="TX500978"/>
    <x v="1"/>
    <x v="9"/>
    <x v="125"/>
    <n v="224.5"/>
    <d v="2025-02-08T00:00:00"/>
    <d v="2025-02-11T00:00:00"/>
    <x v="2"/>
    <x v="2"/>
    <x v="2"/>
    <x v="0"/>
    <x v="18"/>
    <x v="2"/>
    <x v="5"/>
    <x v="2"/>
  </r>
  <r>
    <s v="TX500979"/>
    <x v="10"/>
    <x v="1"/>
    <x v="292"/>
    <n v="69.2"/>
    <d v="2025-02-08T00:00:00"/>
    <d v="2025-02-12T00:00:00"/>
    <x v="2"/>
    <x v="0"/>
    <x v="1"/>
    <x v="0"/>
    <x v="19"/>
    <x v="5"/>
    <x v="5"/>
    <x v="2"/>
  </r>
  <r>
    <s v="TX500980"/>
    <x v="7"/>
    <x v="3"/>
    <x v="344"/>
    <n v="329.7"/>
    <d v="2025-02-08T00:00:00"/>
    <d v="2025-02-13T00:00:00"/>
    <x v="2"/>
    <x v="0"/>
    <x v="0"/>
    <x v="0"/>
    <x v="13"/>
    <x v="0"/>
    <x v="5"/>
    <x v="2"/>
  </r>
  <r>
    <s v="TX500981"/>
    <x v="4"/>
    <x v="9"/>
    <x v="615"/>
    <n v="130.5"/>
    <d v="2025-02-08T00:00:00"/>
    <d v="2025-02-13T00:00:00"/>
    <x v="1"/>
    <x v="0"/>
    <x v="2"/>
    <x v="0"/>
    <x v="21"/>
    <x v="0"/>
    <x v="5"/>
    <x v="1"/>
  </r>
  <r>
    <s v="TX500982"/>
    <x v="12"/>
    <x v="9"/>
    <x v="114"/>
    <n v="334"/>
    <d v="2025-02-08T00:00:00"/>
    <d v="2025-02-11T00:00:00"/>
    <x v="2"/>
    <x v="0"/>
    <x v="0"/>
    <x v="0"/>
    <x v="21"/>
    <x v="2"/>
    <x v="5"/>
    <x v="2"/>
  </r>
  <r>
    <s v="TX500983"/>
    <x v="2"/>
    <x v="1"/>
    <x v="616"/>
    <n v="335.8"/>
    <d v="2025-02-08T00:00:00"/>
    <d v="2025-02-09T00:00:00"/>
    <x v="2"/>
    <x v="3"/>
    <x v="2"/>
    <x v="0"/>
    <x v="21"/>
    <x v="3"/>
    <x v="5"/>
    <x v="2"/>
  </r>
  <r>
    <s v="TX500984"/>
    <x v="10"/>
    <x v="11"/>
    <x v="292"/>
    <n v="311.40000000000003"/>
    <d v="2025-02-08T00:00:00"/>
    <d v="2025-02-09T00:00:00"/>
    <x v="2"/>
    <x v="2"/>
    <x v="1"/>
    <x v="0"/>
    <x v="21"/>
    <x v="3"/>
    <x v="5"/>
    <x v="2"/>
  </r>
  <r>
    <s v="TX500985"/>
    <x v="8"/>
    <x v="2"/>
    <x v="334"/>
    <n v="105.30000000000001"/>
    <d v="2025-02-09T00:00:00"/>
    <d v="2025-02-13T00:00:00"/>
    <x v="1"/>
    <x v="4"/>
    <x v="2"/>
    <x v="0"/>
    <x v="1"/>
    <x v="5"/>
    <x v="6"/>
    <x v="1"/>
  </r>
  <r>
    <s v="TX500986"/>
    <x v="6"/>
    <x v="12"/>
    <x v="617"/>
    <n v="418"/>
    <d v="2025-02-09T00:00:00"/>
    <d v="2025-02-10T00:00:00"/>
    <x v="1"/>
    <x v="1"/>
    <x v="1"/>
    <x v="0"/>
    <x v="1"/>
    <x v="3"/>
    <x v="6"/>
    <x v="1"/>
  </r>
  <r>
    <s v="TX500987"/>
    <x v="8"/>
    <x v="0"/>
    <x v="430"/>
    <n v="37.9"/>
    <d v="2025-02-09T00:00:00"/>
    <d v="2025-02-11T00:00:00"/>
    <x v="0"/>
    <x v="1"/>
    <x v="2"/>
    <x v="0"/>
    <x v="2"/>
    <x v="1"/>
    <x v="6"/>
    <x v="0"/>
  </r>
  <r>
    <s v="TX500988"/>
    <x v="4"/>
    <x v="2"/>
    <x v="423"/>
    <n v="76.5"/>
    <d v="2025-02-09T00:00:00"/>
    <d v="2025-02-12T00:00:00"/>
    <x v="1"/>
    <x v="3"/>
    <x v="0"/>
    <x v="0"/>
    <x v="2"/>
    <x v="2"/>
    <x v="6"/>
    <x v="1"/>
  </r>
  <r>
    <s v="TX500989"/>
    <x v="0"/>
    <x v="2"/>
    <x v="34"/>
    <n v="96"/>
    <d v="2025-02-09T00:00:00"/>
    <d v="2025-02-13T00:00:00"/>
    <x v="2"/>
    <x v="1"/>
    <x v="0"/>
    <x v="0"/>
    <x v="22"/>
    <x v="5"/>
    <x v="6"/>
    <x v="2"/>
  </r>
  <r>
    <s v="TX500990"/>
    <x v="1"/>
    <x v="0"/>
    <x v="344"/>
    <n v="47.1"/>
    <d v="2025-02-09T00:00:00"/>
    <d v="2025-02-10T00:00:00"/>
    <x v="2"/>
    <x v="0"/>
    <x v="0"/>
    <x v="0"/>
    <x v="34"/>
    <x v="3"/>
    <x v="6"/>
    <x v="2"/>
  </r>
  <r>
    <s v="TX500991"/>
    <x v="6"/>
    <x v="1"/>
    <x v="79"/>
    <n v="101.2"/>
    <d v="2025-02-09T00:00:00"/>
    <d v="2025-02-15T00:00:00"/>
    <x v="0"/>
    <x v="0"/>
    <x v="0"/>
    <x v="0"/>
    <x v="3"/>
    <x v="4"/>
    <x v="6"/>
    <x v="0"/>
  </r>
  <r>
    <s v="TX500992"/>
    <x v="6"/>
    <x v="9"/>
    <x v="521"/>
    <n v="408.5"/>
    <d v="2025-02-09T00:00:00"/>
    <d v="2025-02-10T00:00:00"/>
    <x v="2"/>
    <x v="1"/>
    <x v="2"/>
    <x v="0"/>
    <x v="3"/>
    <x v="3"/>
    <x v="6"/>
    <x v="2"/>
  </r>
  <r>
    <s v="TX500993"/>
    <x v="5"/>
    <x v="1"/>
    <x v="155"/>
    <n v="101.4"/>
    <d v="2025-02-09T00:00:00"/>
    <d v="2025-02-10T00:00:00"/>
    <x v="3"/>
    <x v="2"/>
    <x v="2"/>
    <x v="0"/>
    <x v="3"/>
    <x v="3"/>
    <x v="6"/>
    <x v="3"/>
  </r>
  <r>
    <s v="TX500994"/>
    <x v="2"/>
    <x v="10"/>
    <x v="618"/>
    <n v="1278.7"/>
    <d v="2025-02-09T00:00:00"/>
    <d v="2025-02-13T00:00:00"/>
    <x v="2"/>
    <x v="2"/>
    <x v="0"/>
    <x v="0"/>
    <x v="3"/>
    <x v="5"/>
    <x v="6"/>
    <x v="2"/>
  </r>
  <r>
    <s v="TX500995"/>
    <x v="2"/>
    <x v="12"/>
    <x v="497"/>
    <n v="259.2"/>
    <d v="2025-02-09T00:00:00"/>
    <d v="2025-02-12T00:00:00"/>
    <x v="2"/>
    <x v="3"/>
    <x v="0"/>
    <x v="0"/>
    <x v="3"/>
    <x v="2"/>
    <x v="6"/>
    <x v="2"/>
  </r>
  <r>
    <s v="TX500996"/>
    <x v="5"/>
    <x v="32"/>
    <x v="148"/>
    <n v="1348.6"/>
    <d v="2025-02-09T00:00:00"/>
    <d v="2025-02-10T00:00:00"/>
    <x v="2"/>
    <x v="0"/>
    <x v="2"/>
    <x v="0"/>
    <x v="3"/>
    <x v="3"/>
    <x v="6"/>
    <x v="2"/>
  </r>
  <r>
    <s v="TX500997"/>
    <x v="14"/>
    <x v="0"/>
    <x v="619"/>
    <n v="32.9"/>
    <d v="2025-02-09T00:00:00"/>
    <d v="2025-02-12T00:00:00"/>
    <x v="2"/>
    <x v="4"/>
    <x v="0"/>
    <x v="0"/>
    <x v="3"/>
    <x v="2"/>
    <x v="6"/>
    <x v="2"/>
  </r>
  <r>
    <s v="TX500998"/>
    <x v="6"/>
    <x v="1"/>
    <x v="620"/>
    <n v="201.6"/>
    <d v="2025-02-09T00:00:00"/>
    <d v="2025-02-12T00:00:00"/>
    <x v="2"/>
    <x v="0"/>
    <x v="0"/>
    <x v="0"/>
    <x v="3"/>
    <x v="2"/>
    <x v="6"/>
    <x v="2"/>
  </r>
  <r>
    <s v="TX500999"/>
    <x v="8"/>
    <x v="12"/>
    <x v="403"/>
    <n v="100.4"/>
    <d v="2025-02-09T00:00:00"/>
    <d v="2025-02-11T00:00:00"/>
    <x v="2"/>
    <x v="1"/>
    <x v="0"/>
    <x v="0"/>
    <x v="3"/>
    <x v="1"/>
    <x v="6"/>
    <x v="2"/>
  </r>
  <r>
    <s v="TX501000"/>
    <x v="17"/>
    <x v="0"/>
    <x v="286"/>
    <n v="48.5"/>
    <d v="2025-02-09T00:00:00"/>
    <d v="2025-02-10T00:00:00"/>
    <x v="2"/>
    <x v="0"/>
    <x v="1"/>
    <x v="0"/>
    <x v="3"/>
    <x v="3"/>
    <x v="6"/>
    <x v="2"/>
  </r>
  <r>
    <s v="TX501001"/>
    <x v="7"/>
    <x v="1"/>
    <x v="570"/>
    <n v="67.2"/>
    <d v="2025-02-09T00:00:00"/>
    <d v="2025-02-13T00:00:00"/>
    <x v="2"/>
    <x v="2"/>
    <x v="2"/>
    <x v="0"/>
    <x v="3"/>
    <x v="5"/>
    <x v="6"/>
    <x v="2"/>
  </r>
  <r>
    <s v="TX501002"/>
    <x v="8"/>
    <x v="0"/>
    <x v="418"/>
    <n v="39.299999999999997"/>
    <d v="2025-02-09T00:00:00"/>
    <d v="2025-02-20T00:00:00"/>
    <x v="2"/>
    <x v="1"/>
    <x v="1"/>
    <x v="0"/>
    <x v="49"/>
    <x v="11"/>
    <x v="6"/>
    <x v="2"/>
  </r>
  <r>
    <s v="TX501003"/>
    <x v="4"/>
    <x v="7"/>
    <x v="126"/>
    <n v="488"/>
    <d v="2025-02-09T00:00:00"/>
    <d v="2025-02-11T00:00:00"/>
    <x v="2"/>
    <x v="3"/>
    <x v="1"/>
    <x v="0"/>
    <x v="25"/>
    <x v="1"/>
    <x v="6"/>
    <x v="2"/>
  </r>
  <r>
    <s v="TX501004"/>
    <x v="6"/>
    <x v="8"/>
    <x v="524"/>
    <n v="582.4"/>
    <d v="2025-02-09T00:00:00"/>
    <d v="2025-02-11T00:00:00"/>
    <x v="1"/>
    <x v="1"/>
    <x v="2"/>
    <x v="0"/>
    <x v="5"/>
    <x v="1"/>
    <x v="6"/>
    <x v="1"/>
  </r>
  <r>
    <s v="TX501005"/>
    <x v="10"/>
    <x v="8"/>
    <x v="193"/>
    <n v="369.6"/>
    <d v="2025-02-09T00:00:00"/>
    <d v="2025-02-10T00:00:00"/>
    <x v="1"/>
    <x v="3"/>
    <x v="4"/>
    <x v="0"/>
    <x v="5"/>
    <x v="3"/>
    <x v="6"/>
    <x v="1"/>
  </r>
  <r>
    <s v="TX501006"/>
    <x v="4"/>
    <x v="1"/>
    <x v="289"/>
    <n v="41.4"/>
    <d v="2025-02-09T00:00:00"/>
    <d v="2025-02-10T00:00:00"/>
    <x v="2"/>
    <x v="2"/>
    <x v="3"/>
    <x v="0"/>
    <x v="6"/>
    <x v="3"/>
    <x v="6"/>
    <x v="2"/>
  </r>
  <r>
    <s v="TX501007"/>
    <x v="0"/>
    <x v="0"/>
    <x v="8"/>
    <n v="35.700000000000003"/>
    <d v="2025-02-09T00:00:00"/>
    <d v="2025-02-11T00:00:00"/>
    <x v="2"/>
    <x v="3"/>
    <x v="0"/>
    <x v="0"/>
    <x v="6"/>
    <x v="1"/>
    <x v="6"/>
    <x v="2"/>
  </r>
  <r>
    <s v="TX501008"/>
    <x v="2"/>
    <x v="27"/>
    <x v="621"/>
    <n v="2659.2"/>
    <d v="2025-02-09T00:00:00"/>
    <d v="2025-02-11T00:00:00"/>
    <x v="0"/>
    <x v="2"/>
    <x v="0"/>
    <x v="0"/>
    <x v="7"/>
    <x v="1"/>
    <x v="6"/>
    <x v="0"/>
  </r>
  <r>
    <s v="TX501009"/>
    <x v="6"/>
    <x v="12"/>
    <x v="449"/>
    <n v="343.2"/>
    <d v="2025-02-09T00:00:00"/>
    <d v="2025-02-10T00:00:00"/>
    <x v="2"/>
    <x v="1"/>
    <x v="1"/>
    <x v="0"/>
    <x v="7"/>
    <x v="3"/>
    <x v="6"/>
    <x v="2"/>
  </r>
  <r>
    <s v="TX501010"/>
    <x v="8"/>
    <x v="2"/>
    <x v="269"/>
    <n v="78"/>
    <d v="2025-02-09T00:00:00"/>
    <d v="2025-02-11T00:00:00"/>
    <x v="3"/>
    <x v="1"/>
    <x v="0"/>
    <x v="0"/>
    <x v="7"/>
    <x v="1"/>
    <x v="6"/>
    <x v="3"/>
  </r>
  <r>
    <s v="TX501011"/>
    <x v="2"/>
    <x v="15"/>
    <x v="622"/>
    <n v="1515.8"/>
    <d v="2025-02-09T00:00:00"/>
    <d v="2025-02-12T00:00:00"/>
    <x v="2"/>
    <x v="0"/>
    <x v="0"/>
    <x v="0"/>
    <x v="8"/>
    <x v="2"/>
    <x v="6"/>
    <x v="2"/>
  </r>
  <r>
    <s v="TX501012"/>
    <x v="9"/>
    <x v="3"/>
    <x v="190"/>
    <n v="377.3"/>
    <d v="2025-02-09T00:00:00"/>
    <d v="2025-02-12T00:00:00"/>
    <x v="3"/>
    <x v="0"/>
    <x v="2"/>
    <x v="0"/>
    <x v="8"/>
    <x v="2"/>
    <x v="6"/>
    <x v="3"/>
  </r>
  <r>
    <s v="TX501013"/>
    <x v="12"/>
    <x v="9"/>
    <x v="583"/>
    <n v="361.5"/>
    <d v="2025-02-09T00:00:00"/>
    <d v="2025-02-11T00:00:00"/>
    <x v="0"/>
    <x v="2"/>
    <x v="2"/>
    <x v="0"/>
    <x v="8"/>
    <x v="1"/>
    <x v="6"/>
    <x v="0"/>
  </r>
  <r>
    <s v="TX501014"/>
    <x v="5"/>
    <x v="1"/>
    <x v="541"/>
    <n v="62.8"/>
    <d v="2025-02-09T00:00:00"/>
    <d v="2025-02-11T00:00:00"/>
    <x v="2"/>
    <x v="0"/>
    <x v="0"/>
    <x v="0"/>
    <x v="8"/>
    <x v="1"/>
    <x v="6"/>
    <x v="2"/>
  </r>
  <r>
    <s v="TX501015"/>
    <x v="13"/>
    <x v="1"/>
    <x v="213"/>
    <n v="106.2"/>
    <d v="2025-02-09T00:00:00"/>
    <d v="2025-02-12T00:00:00"/>
    <x v="1"/>
    <x v="1"/>
    <x v="0"/>
    <x v="0"/>
    <x v="8"/>
    <x v="2"/>
    <x v="6"/>
    <x v="1"/>
  </r>
  <r>
    <s v="TX501016"/>
    <x v="2"/>
    <x v="12"/>
    <x v="623"/>
    <n v="224.8"/>
    <d v="2025-02-09T00:00:00"/>
    <d v="2025-02-10T00:00:00"/>
    <x v="2"/>
    <x v="0"/>
    <x v="0"/>
    <x v="0"/>
    <x v="8"/>
    <x v="3"/>
    <x v="6"/>
    <x v="2"/>
  </r>
  <r>
    <s v="TX501017"/>
    <x v="1"/>
    <x v="7"/>
    <x v="81"/>
    <n v="773"/>
    <d v="2025-02-09T00:00:00"/>
    <d v="2025-02-10T00:00:00"/>
    <x v="2"/>
    <x v="2"/>
    <x v="0"/>
    <x v="0"/>
    <x v="11"/>
    <x v="3"/>
    <x v="6"/>
    <x v="2"/>
  </r>
  <r>
    <s v="TX501018"/>
    <x v="6"/>
    <x v="15"/>
    <x v="211"/>
    <n v="751.4"/>
    <d v="2025-02-09T00:00:00"/>
    <d v="2025-02-10T00:00:00"/>
    <x v="0"/>
    <x v="0"/>
    <x v="0"/>
    <x v="0"/>
    <x v="53"/>
    <x v="3"/>
    <x v="6"/>
    <x v="0"/>
  </r>
  <r>
    <s v="TX501019"/>
    <x v="12"/>
    <x v="20"/>
    <x v="624"/>
    <n v="631.5"/>
    <d v="2025-02-09T00:00:00"/>
    <d v="2025-02-11T00:00:00"/>
    <x v="2"/>
    <x v="1"/>
    <x v="1"/>
    <x v="0"/>
    <x v="53"/>
    <x v="1"/>
    <x v="6"/>
    <x v="2"/>
  </r>
  <r>
    <s v="TX501020"/>
    <x v="8"/>
    <x v="11"/>
    <x v="625"/>
    <n v="205.20000000000002"/>
    <d v="2025-02-09T00:00:00"/>
    <d v="2025-02-13T00:00:00"/>
    <x v="1"/>
    <x v="2"/>
    <x v="2"/>
    <x v="0"/>
    <x v="19"/>
    <x v="5"/>
    <x v="6"/>
    <x v="1"/>
  </r>
  <r>
    <s v="TX501021"/>
    <x v="2"/>
    <x v="2"/>
    <x v="626"/>
    <n v="513.29999999999995"/>
    <d v="2025-02-10T00:00:00"/>
    <d v="2025-02-17T00:00:00"/>
    <x v="2"/>
    <x v="2"/>
    <x v="1"/>
    <x v="0"/>
    <x v="19"/>
    <x v="6"/>
    <x v="6"/>
    <x v="2"/>
  </r>
  <r>
    <s v="TX501022"/>
    <x v="8"/>
    <x v="0"/>
    <x v="627"/>
    <n v="28"/>
    <d v="2025-02-10T00:00:00"/>
    <d v="2025-02-12T00:00:00"/>
    <x v="1"/>
    <x v="2"/>
    <x v="2"/>
    <x v="0"/>
    <x v="21"/>
    <x v="1"/>
    <x v="6"/>
    <x v="1"/>
  </r>
  <r>
    <s v="TX501023"/>
    <x v="6"/>
    <x v="3"/>
    <x v="534"/>
    <n v="351.40000000000003"/>
    <d v="2025-02-10T00:00:00"/>
    <d v="2025-02-12T00:00:00"/>
    <x v="1"/>
    <x v="2"/>
    <x v="0"/>
    <x v="0"/>
    <x v="21"/>
    <x v="1"/>
    <x v="6"/>
    <x v="1"/>
  </r>
  <r>
    <s v="TX501024"/>
    <x v="6"/>
    <x v="1"/>
    <x v="628"/>
    <n v="112"/>
    <d v="2025-02-10T00:00:00"/>
    <d v="2025-02-10T00:00:00"/>
    <x v="1"/>
    <x v="0"/>
    <x v="2"/>
    <x v="0"/>
    <x v="22"/>
    <x v="7"/>
    <x v="6"/>
    <x v="1"/>
  </r>
  <r>
    <s v="TX501025"/>
    <x v="1"/>
    <x v="1"/>
    <x v="629"/>
    <n v="76.599999999999994"/>
    <d v="2025-02-10T00:00:00"/>
    <d v="2025-02-11T00:00:00"/>
    <x v="2"/>
    <x v="1"/>
    <x v="0"/>
    <x v="0"/>
    <x v="3"/>
    <x v="3"/>
    <x v="6"/>
    <x v="2"/>
  </r>
  <r>
    <s v="TX501026"/>
    <x v="0"/>
    <x v="9"/>
    <x v="208"/>
    <n v="111.5"/>
    <d v="2025-02-10T00:00:00"/>
    <d v="2025-02-14T00:00:00"/>
    <x v="2"/>
    <x v="2"/>
    <x v="1"/>
    <x v="0"/>
    <x v="3"/>
    <x v="5"/>
    <x v="6"/>
    <x v="2"/>
  </r>
  <r>
    <s v="TX501027"/>
    <x v="0"/>
    <x v="2"/>
    <x v="208"/>
    <n v="66.900000000000006"/>
    <d v="2025-02-10T00:00:00"/>
    <d v="2025-02-13T00:00:00"/>
    <x v="2"/>
    <x v="2"/>
    <x v="0"/>
    <x v="0"/>
    <x v="3"/>
    <x v="2"/>
    <x v="6"/>
    <x v="2"/>
  </r>
  <r>
    <s v="TX501028"/>
    <x v="1"/>
    <x v="0"/>
    <x v="619"/>
    <n v="32.9"/>
    <d v="2025-02-10T00:00:00"/>
    <d v="2025-02-15T00:00:00"/>
    <x v="2"/>
    <x v="0"/>
    <x v="0"/>
    <x v="0"/>
    <x v="3"/>
    <x v="0"/>
    <x v="6"/>
    <x v="2"/>
  </r>
  <r>
    <s v="TX501029"/>
    <x v="10"/>
    <x v="2"/>
    <x v="590"/>
    <n v="95.699999999999989"/>
    <d v="2025-02-10T00:00:00"/>
    <d v="2025-02-15T00:00:00"/>
    <x v="2"/>
    <x v="0"/>
    <x v="0"/>
    <x v="0"/>
    <x v="3"/>
    <x v="0"/>
    <x v="6"/>
    <x v="2"/>
  </r>
  <r>
    <s v="TX501030"/>
    <x v="6"/>
    <x v="1"/>
    <x v="420"/>
    <n v="188"/>
    <d v="2025-02-10T00:00:00"/>
    <d v="2025-02-11T00:00:00"/>
    <x v="1"/>
    <x v="2"/>
    <x v="2"/>
    <x v="0"/>
    <x v="3"/>
    <x v="3"/>
    <x v="6"/>
    <x v="1"/>
  </r>
  <r>
    <s v="TX501031"/>
    <x v="10"/>
    <x v="1"/>
    <x v="630"/>
    <n v="61.4"/>
    <d v="2025-02-10T00:00:00"/>
    <d v="2025-02-11T00:00:00"/>
    <x v="2"/>
    <x v="0"/>
    <x v="1"/>
    <x v="0"/>
    <x v="3"/>
    <x v="3"/>
    <x v="6"/>
    <x v="2"/>
  </r>
  <r>
    <s v="TX501032"/>
    <x v="5"/>
    <x v="9"/>
    <x v="411"/>
    <n v="452.5"/>
    <d v="2025-02-10T00:00:00"/>
    <d v="2025-02-17T00:00:00"/>
    <x v="1"/>
    <x v="0"/>
    <x v="2"/>
    <x v="0"/>
    <x v="3"/>
    <x v="6"/>
    <x v="6"/>
    <x v="1"/>
  </r>
  <r>
    <s v="TX501033"/>
    <x v="8"/>
    <x v="9"/>
    <x v="631"/>
    <n v="126.5"/>
    <d v="2025-02-10T00:00:00"/>
    <d v="2025-02-14T00:00:00"/>
    <x v="2"/>
    <x v="0"/>
    <x v="2"/>
    <x v="0"/>
    <x v="3"/>
    <x v="5"/>
    <x v="6"/>
    <x v="2"/>
  </r>
  <r>
    <s v="TX501034"/>
    <x v="6"/>
    <x v="2"/>
    <x v="215"/>
    <n v="174.3"/>
    <d v="2025-02-10T00:00:00"/>
    <d v="2025-02-14T00:00:00"/>
    <x v="0"/>
    <x v="0"/>
    <x v="2"/>
    <x v="0"/>
    <x v="3"/>
    <x v="5"/>
    <x v="6"/>
    <x v="0"/>
  </r>
  <r>
    <s v="TX501035"/>
    <x v="2"/>
    <x v="2"/>
    <x v="285"/>
    <n v="224.70000000000002"/>
    <d v="2025-02-10T00:00:00"/>
    <d v="2025-02-11T00:00:00"/>
    <x v="2"/>
    <x v="4"/>
    <x v="0"/>
    <x v="0"/>
    <x v="3"/>
    <x v="3"/>
    <x v="6"/>
    <x v="2"/>
  </r>
  <r>
    <s v="TX501036"/>
    <x v="4"/>
    <x v="1"/>
    <x v="504"/>
    <n v="65"/>
    <d v="2025-02-10T00:00:00"/>
    <d v="2025-02-11T00:00:00"/>
    <x v="1"/>
    <x v="2"/>
    <x v="2"/>
    <x v="0"/>
    <x v="43"/>
    <x v="3"/>
    <x v="6"/>
    <x v="1"/>
  </r>
  <r>
    <s v="TX501037"/>
    <x v="4"/>
    <x v="9"/>
    <x v="205"/>
    <n v="310"/>
    <d v="2025-02-10T00:00:00"/>
    <d v="2025-02-11T00:00:00"/>
    <x v="1"/>
    <x v="4"/>
    <x v="2"/>
    <x v="0"/>
    <x v="25"/>
    <x v="3"/>
    <x v="6"/>
    <x v="1"/>
  </r>
  <r>
    <s v="TX501038"/>
    <x v="13"/>
    <x v="13"/>
    <x v="538"/>
    <n v="173.39999999999998"/>
    <d v="2025-02-10T00:00:00"/>
    <d v="2025-02-13T00:00:00"/>
    <x v="2"/>
    <x v="0"/>
    <x v="1"/>
    <x v="0"/>
    <x v="6"/>
    <x v="2"/>
    <x v="6"/>
    <x v="2"/>
  </r>
  <r>
    <s v="TX501039"/>
    <x v="6"/>
    <x v="8"/>
    <x v="443"/>
    <n v="342.4"/>
    <d v="2025-02-10T00:00:00"/>
    <d v="2025-02-12T00:00:00"/>
    <x v="2"/>
    <x v="0"/>
    <x v="2"/>
    <x v="0"/>
    <x v="6"/>
    <x v="1"/>
    <x v="6"/>
    <x v="2"/>
  </r>
  <r>
    <s v="TX501040"/>
    <x v="8"/>
    <x v="8"/>
    <x v="632"/>
    <n v="315.2"/>
    <d v="2025-02-10T00:00:00"/>
    <d v="2025-02-12T00:00:00"/>
    <x v="1"/>
    <x v="0"/>
    <x v="0"/>
    <x v="0"/>
    <x v="36"/>
    <x v="1"/>
    <x v="6"/>
    <x v="1"/>
  </r>
  <r>
    <s v="TX501041"/>
    <x v="18"/>
    <x v="2"/>
    <x v="633"/>
    <n v="199.20000000000002"/>
    <d v="2025-02-10T00:00:00"/>
    <d v="2025-02-11T00:00:00"/>
    <x v="0"/>
    <x v="2"/>
    <x v="1"/>
    <x v="0"/>
    <x v="7"/>
    <x v="3"/>
    <x v="6"/>
    <x v="0"/>
  </r>
  <r>
    <s v="TX501042"/>
    <x v="17"/>
    <x v="12"/>
    <x v="275"/>
    <n v="143.6"/>
    <d v="2025-02-10T00:00:00"/>
    <d v="2025-02-17T00:00:00"/>
    <x v="2"/>
    <x v="1"/>
    <x v="0"/>
    <x v="0"/>
    <x v="7"/>
    <x v="6"/>
    <x v="6"/>
    <x v="2"/>
  </r>
  <r>
    <s v="TX501043"/>
    <x v="0"/>
    <x v="12"/>
    <x v="436"/>
    <n v="107.6"/>
    <d v="2025-02-10T00:00:00"/>
    <d v="2025-02-11T00:00:00"/>
    <x v="1"/>
    <x v="1"/>
    <x v="0"/>
    <x v="0"/>
    <x v="7"/>
    <x v="3"/>
    <x v="6"/>
    <x v="1"/>
  </r>
  <r>
    <s v="TX501044"/>
    <x v="2"/>
    <x v="0"/>
    <x v="282"/>
    <n v="55.1"/>
    <d v="2025-02-10T00:00:00"/>
    <d v="2025-02-11T00:00:00"/>
    <x v="2"/>
    <x v="0"/>
    <x v="0"/>
    <x v="0"/>
    <x v="7"/>
    <x v="3"/>
    <x v="6"/>
    <x v="2"/>
  </r>
  <r>
    <s v="TX501045"/>
    <x v="4"/>
    <x v="1"/>
    <x v="273"/>
    <n v="47.8"/>
    <d v="2025-02-10T00:00:00"/>
    <d v="2025-02-11T00:00:00"/>
    <x v="1"/>
    <x v="0"/>
    <x v="2"/>
    <x v="0"/>
    <x v="8"/>
    <x v="3"/>
    <x v="6"/>
    <x v="1"/>
  </r>
  <r>
    <s v="TX501046"/>
    <x v="9"/>
    <x v="15"/>
    <x v="438"/>
    <n v="274.3"/>
    <d v="2025-02-10T00:00:00"/>
    <d v="2025-02-18T00:00:00"/>
    <x v="2"/>
    <x v="0"/>
    <x v="1"/>
    <x v="0"/>
    <x v="8"/>
    <x v="9"/>
    <x v="6"/>
    <x v="2"/>
  </r>
  <r>
    <s v="TX501047"/>
    <x v="8"/>
    <x v="9"/>
    <x v="601"/>
    <n v="169"/>
    <d v="2025-02-10T00:00:00"/>
    <d v="2025-02-12T00:00:00"/>
    <x v="2"/>
    <x v="0"/>
    <x v="0"/>
    <x v="0"/>
    <x v="8"/>
    <x v="1"/>
    <x v="6"/>
    <x v="2"/>
  </r>
  <r>
    <s v="TX501048"/>
    <x v="2"/>
    <x v="12"/>
    <x v="634"/>
    <n v="224.4"/>
    <d v="2025-02-10T00:00:00"/>
    <d v="2025-02-10T00:00:00"/>
    <x v="2"/>
    <x v="3"/>
    <x v="2"/>
    <x v="0"/>
    <x v="9"/>
    <x v="7"/>
    <x v="6"/>
    <x v="2"/>
  </r>
  <r>
    <s v="TX501049"/>
    <x v="3"/>
    <x v="0"/>
    <x v="635"/>
    <n v="58.5"/>
    <d v="2025-02-11T00:00:00"/>
    <d v="2025-02-15T00:00:00"/>
    <x v="2"/>
    <x v="1"/>
    <x v="2"/>
    <x v="0"/>
    <x v="9"/>
    <x v="5"/>
    <x v="6"/>
    <x v="2"/>
  </r>
  <r>
    <s v="TX501050"/>
    <x v="6"/>
    <x v="0"/>
    <x v="636"/>
    <n v="84.2"/>
    <d v="2025-02-11T00:00:00"/>
    <d v="2025-02-13T00:00:00"/>
    <x v="1"/>
    <x v="3"/>
    <x v="0"/>
    <x v="0"/>
    <x v="11"/>
    <x v="1"/>
    <x v="6"/>
    <x v="1"/>
  </r>
  <r>
    <s v="TX501051"/>
    <x v="11"/>
    <x v="12"/>
    <x v="168"/>
    <n v="208"/>
    <d v="2025-02-11T00:00:00"/>
    <d v="2025-02-14T00:00:00"/>
    <x v="1"/>
    <x v="0"/>
    <x v="0"/>
    <x v="0"/>
    <x v="11"/>
    <x v="2"/>
    <x v="6"/>
    <x v="1"/>
  </r>
  <r>
    <s v="TX501052"/>
    <x v="4"/>
    <x v="9"/>
    <x v="217"/>
    <n v="157.5"/>
    <d v="2025-02-11T00:00:00"/>
    <d v="2025-02-12T00:00:00"/>
    <x v="2"/>
    <x v="0"/>
    <x v="2"/>
    <x v="0"/>
    <x v="11"/>
    <x v="3"/>
    <x v="6"/>
    <x v="2"/>
  </r>
  <r>
    <s v="TX501053"/>
    <x v="16"/>
    <x v="2"/>
    <x v="193"/>
    <n v="138.60000000000002"/>
    <d v="2025-02-11T00:00:00"/>
    <d v="2025-02-12T00:00:00"/>
    <x v="1"/>
    <x v="0"/>
    <x v="0"/>
    <x v="0"/>
    <x v="53"/>
    <x v="3"/>
    <x v="6"/>
    <x v="1"/>
  </r>
  <r>
    <s v="TX501054"/>
    <x v="2"/>
    <x v="13"/>
    <x v="637"/>
    <n v="810"/>
    <d v="2025-02-11T00:00:00"/>
    <d v="2025-02-12T00:00:00"/>
    <x v="2"/>
    <x v="1"/>
    <x v="2"/>
    <x v="0"/>
    <x v="18"/>
    <x v="3"/>
    <x v="6"/>
    <x v="2"/>
  </r>
  <r>
    <s v="TX501055"/>
    <x v="12"/>
    <x v="2"/>
    <x v="638"/>
    <n v="276.60000000000002"/>
    <d v="2025-02-11T00:00:00"/>
    <d v="2025-02-15T00:00:00"/>
    <x v="1"/>
    <x v="0"/>
    <x v="0"/>
    <x v="0"/>
    <x v="21"/>
    <x v="5"/>
    <x v="6"/>
    <x v="1"/>
  </r>
  <r>
    <s v="TX501056"/>
    <x v="8"/>
    <x v="0"/>
    <x v="17"/>
    <n v="36.6"/>
    <d v="2025-02-11T00:00:00"/>
    <d v="2025-02-13T00:00:00"/>
    <x v="1"/>
    <x v="2"/>
    <x v="2"/>
    <x v="0"/>
    <x v="21"/>
    <x v="1"/>
    <x v="6"/>
    <x v="1"/>
  </r>
  <r>
    <s v="TX501057"/>
    <x v="9"/>
    <x v="1"/>
    <x v="79"/>
    <n v="101.2"/>
    <d v="2025-02-11T00:00:00"/>
    <d v="2025-02-14T00:00:00"/>
    <x v="2"/>
    <x v="0"/>
    <x v="0"/>
    <x v="0"/>
    <x v="2"/>
    <x v="2"/>
    <x v="6"/>
    <x v="2"/>
  </r>
  <r>
    <s v="TX501058"/>
    <x v="18"/>
    <x v="3"/>
    <x v="4"/>
    <n v="396.90000000000003"/>
    <d v="2025-02-11T00:00:00"/>
    <d v="2025-02-14T00:00:00"/>
    <x v="2"/>
    <x v="0"/>
    <x v="0"/>
    <x v="0"/>
    <x v="2"/>
    <x v="2"/>
    <x v="6"/>
    <x v="2"/>
  </r>
  <r>
    <s v="TX501059"/>
    <x v="9"/>
    <x v="15"/>
    <x v="409"/>
    <n v="297.7"/>
    <d v="2025-02-11T00:00:00"/>
    <d v="2025-02-12T00:00:00"/>
    <x v="2"/>
    <x v="0"/>
    <x v="1"/>
    <x v="0"/>
    <x v="44"/>
    <x v="3"/>
    <x v="6"/>
    <x v="2"/>
  </r>
  <r>
    <s v="TX501060"/>
    <x v="15"/>
    <x v="10"/>
    <x v="582"/>
    <n v="1018.4"/>
    <d v="2025-02-11T00:00:00"/>
    <d v="2025-02-12T00:00:00"/>
    <x v="1"/>
    <x v="0"/>
    <x v="0"/>
    <x v="0"/>
    <x v="22"/>
    <x v="3"/>
    <x v="6"/>
    <x v="1"/>
  </r>
  <r>
    <s v="TX501061"/>
    <x v="18"/>
    <x v="1"/>
    <x v="224"/>
    <n v="60.4"/>
    <d v="2025-02-11T00:00:00"/>
    <d v="2025-02-13T00:00:00"/>
    <x v="0"/>
    <x v="2"/>
    <x v="2"/>
    <x v="0"/>
    <x v="3"/>
    <x v="1"/>
    <x v="6"/>
    <x v="0"/>
  </r>
  <r>
    <s v="TX501062"/>
    <x v="15"/>
    <x v="13"/>
    <x v="298"/>
    <n v="500.40000000000003"/>
    <d v="2025-02-11T00:00:00"/>
    <d v="2025-02-12T00:00:00"/>
    <x v="1"/>
    <x v="1"/>
    <x v="2"/>
    <x v="0"/>
    <x v="3"/>
    <x v="3"/>
    <x v="6"/>
    <x v="1"/>
  </r>
  <r>
    <s v="TX501063"/>
    <x v="13"/>
    <x v="4"/>
    <x v="639"/>
    <n v="199.20000000000002"/>
    <d v="2025-02-11T00:00:00"/>
    <d v="2025-02-13T00:00:00"/>
    <x v="1"/>
    <x v="1"/>
    <x v="0"/>
    <x v="0"/>
    <x v="3"/>
    <x v="1"/>
    <x v="6"/>
    <x v="1"/>
  </r>
  <r>
    <s v="TX501064"/>
    <x v="8"/>
    <x v="14"/>
    <x v="421"/>
    <n v="372.29999999999995"/>
    <d v="2025-02-11T00:00:00"/>
    <d v="2025-02-13T00:00:00"/>
    <x v="2"/>
    <x v="4"/>
    <x v="1"/>
    <x v="0"/>
    <x v="3"/>
    <x v="1"/>
    <x v="6"/>
    <x v="2"/>
  </r>
  <r>
    <s v="TX501065"/>
    <x v="8"/>
    <x v="31"/>
    <x v="601"/>
    <n v="946.39999999999986"/>
    <d v="2025-02-11T00:00:00"/>
    <d v="2025-02-13T00:00:00"/>
    <x v="1"/>
    <x v="2"/>
    <x v="4"/>
    <x v="0"/>
    <x v="3"/>
    <x v="1"/>
    <x v="6"/>
    <x v="1"/>
  </r>
  <r>
    <s v="TX501066"/>
    <x v="18"/>
    <x v="1"/>
    <x v="459"/>
    <n v="106.4"/>
    <d v="2025-02-11T00:00:00"/>
    <d v="2025-02-11T00:00:00"/>
    <x v="1"/>
    <x v="1"/>
    <x v="0"/>
    <x v="0"/>
    <x v="3"/>
    <x v="7"/>
    <x v="6"/>
    <x v="1"/>
  </r>
  <r>
    <s v="TX501067"/>
    <x v="2"/>
    <x v="1"/>
    <x v="640"/>
    <n v="353.4"/>
    <d v="2025-02-11T00:00:00"/>
    <d v="2025-02-14T00:00:00"/>
    <x v="2"/>
    <x v="2"/>
    <x v="0"/>
    <x v="0"/>
    <x v="3"/>
    <x v="2"/>
    <x v="6"/>
    <x v="2"/>
  </r>
  <r>
    <s v="TX501068"/>
    <x v="12"/>
    <x v="2"/>
    <x v="641"/>
    <n v="162"/>
    <d v="2025-02-11T00:00:00"/>
    <d v="2025-02-14T00:00:00"/>
    <x v="1"/>
    <x v="0"/>
    <x v="1"/>
    <x v="0"/>
    <x v="3"/>
    <x v="2"/>
    <x v="6"/>
    <x v="1"/>
  </r>
  <r>
    <s v="TX501069"/>
    <x v="9"/>
    <x v="1"/>
    <x v="163"/>
    <n v="140.19999999999999"/>
    <d v="2025-02-11T00:00:00"/>
    <d v="2025-02-19T00:00:00"/>
    <x v="2"/>
    <x v="3"/>
    <x v="2"/>
    <x v="0"/>
    <x v="3"/>
    <x v="9"/>
    <x v="6"/>
    <x v="2"/>
  </r>
  <r>
    <s v="TX501070"/>
    <x v="8"/>
    <x v="0"/>
    <x v="38"/>
    <n v="26.5"/>
    <d v="2025-02-11T00:00:00"/>
    <d v="2025-02-13T00:00:00"/>
    <x v="2"/>
    <x v="1"/>
    <x v="0"/>
    <x v="0"/>
    <x v="3"/>
    <x v="1"/>
    <x v="6"/>
    <x v="2"/>
  </r>
  <r>
    <s v="TX501071"/>
    <x v="7"/>
    <x v="9"/>
    <x v="346"/>
    <n v="445"/>
    <d v="2025-02-11T00:00:00"/>
    <d v="2025-02-13T00:00:00"/>
    <x v="1"/>
    <x v="2"/>
    <x v="4"/>
    <x v="0"/>
    <x v="3"/>
    <x v="1"/>
    <x v="6"/>
    <x v="1"/>
  </r>
  <r>
    <s v="TX501072"/>
    <x v="1"/>
    <x v="13"/>
    <x v="642"/>
    <n v="282"/>
    <d v="2025-02-11T00:00:00"/>
    <d v="2025-02-14T00:00:00"/>
    <x v="2"/>
    <x v="3"/>
    <x v="0"/>
    <x v="0"/>
    <x v="24"/>
    <x v="2"/>
    <x v="6"/>
    <x v="2"/>
  </r>
  <r>
    <s v="TX501073"/>
    <x v="3"/>
    <x v="1"/>
    <x v="204"/>
    <n v="110.4"/>
    <d v="2025-02-11T00:00:00"/>
    <d v="2025-02-14T00:00:00"/>
    <x v="1"/>
    <x v="1"/>
    <x v="1"/>
    <x v="0"/>
    <x v="6"/>
    <x v="2"/>
    <x v="6"/>
    <x v="1"/>
  </r>
  <r>
    <s v="TX501074"/>
    <x v="8"/>
    <x v="39"/>
    <x v="57"/>
    <n v="1398.6"/>
    <d v="2025-02-11T00:00:00"/>
    <d v="2025-02-25T00:00:00"/>
    <x v="1"/>
    <x v="1"/>
    <x v="2"/>
    <x v="0"/>
    <x v="6"/>
    <x v="12"/>
    <x v="6"/>
    <x v="1"/>
  </r>
  <r>
    <s v="TX501075"/>
    <x v="2"/>
    <x v="12"/>
    <x v="643"/>
    <n v="443.6"/>
    <d v="2025-02-12T00:00:00"/>
    <d v="2025-02-12T00:00:00"/>
    <x v="1"/>
    <x v="2"/>
    <x v="4"/>
    <x v="0"/>
    <x v="6"/>
    <x v="7"/>
    <x v="6"/>
    <x v="1"/>
  </r>
  <r>
    <s v="TX501076"/>
    <x v="2"/>
    <x v="13"/>
    <x v="618"/>
    <n v="403.79999999999995"/>
    <d v="2025-02-12T00:00:00"/>
    <d v="2025-02-13T00:00:00"/>
    <x v="1"/>
    <x v="0"/>
    <x v="0"/>
    <x v="0"/>
    <x v="8"/>
    <x v="3"/>
    <x v="6"/>
    <x v="1"/>
  </r>
  <r>
    <s v="TX501077"/>
    <x v="6"/>
    <x v="2"/>
    <x v="330"/>
    <n v="209.10000000000002"/>
    <d v="2025-02-12T00:00:00"/>
    <d v="2025-02-13T00:00:00"/>
    <x v="1"/>
    <x v="2"/>
    <x v="1"/>
    <x v="0"/>
    <x v="8"/>
    <x v="3"/>
    <x v="6"/>
    <x v="1"/>
  </r>
  <r>
    <s v="TX501078"/>
    <x v="5"/>
    <x v="0"/>
    <x v="644"/>
    <n v="39.1"/>
    <d v="2025-02-12T00:00:00"/>
    <d v="2025-02-17T00:00:00"/>
    <x v="1"/>
    <x v="0"/>
    <x v="1"/>
    <x v="0"/>
    <x v="17"/>
    <x v="0"/>
    <x v="6"/>
    <x v="1"/>
  </r>
  <r>
    <s v="TX501079"/>
    <x v="2"/>
    <x v="2"/>
    <x v="645"/>
    <n v="625.79999999999995"/>
    <d v="2025-02-12T00:00:00"/>
    <d v="2025-02-12T00:00:00"/>
    <x v="1"/>
    <x v="4"/>
    <x v="2"/>
    <x v="0"/>
    <x v="17"/>
    <x v="7"/>
    <x v="6"/>
    <x v="1"/>
  </r>
  <r>
    <s v="TX501080"/>
    <x v="15"/>
    <x v="2"/>
    <x v="646"/>
    <n v="83.4"/>
    <d v="2025-02-12T00:00:00"/>
    <d v="2025-02-13T00:00:00"/>
    <x v="1"/>
    <x v="3"/>
    <x v="1"/>
    <x v="0"/>
    <x v="11"/>
    <x v="3"/>
    <x v="6"/>
    <x v="1"/>
  </r>
  <r>
    <s v="TX501081"/>
    <x v="10"/>
    <x v="9"/>
    <x v="647"/>
    <n v="147"/>
    <d v="2025-02-12T00:00:00"/>
    <d v="2025-02-14T00:00:00"/>
    <x v="2"/>
    <x v="0"/>
    <x v="0"/>
    <x v="0"/>
    <x v="11"/>
    <x v="1"/>
    <x v="6"/>
    <x v="2"/>
  </r>
  <r>
    <s v="TX501082"/>
    <x v="9"/>
    <x v="1"/>
    <x v="402"/>
    <n v="58.4"/>
    <d v="2025-02-12T00:00:00"/>
    <d v="2025-02-14T00:00:00"/>
    <x v="2"/>
    <x v="1"/>
    <x v="2"/>
    <x v="0"/>
    <x v="20"/>
    <x v="1"/>
    <x v="6"/>
    <x v="2"/>
  </r>
  <r>
    <s v="TX501083"/>
    <x v="10"/>
    <x v="9"/>
    <x v="38"/>
    <n v="132.5"/>
    <d v="2025-02-12T00:00:00"/>
    <d v="2025-02-14T00:00:00"/>
    <x v="2"/>
    <x v="0"/>
    <x v="0"/>
    <x v="0"/>
    <x v="52"/>
    <x v="1"/>
    <x v="6"/>
    <x v="2"/>
  </r>
  <r>
    <s v="TX501084"/>
    <x v="5"/>
    <x v="0"/>
    <x v="165"/>
    <n v="30.3"/>
    <d v="2025-02-12T00:00:00"/>
    <d v="2025-02-13T00:00:00"/>
    <x v="2"/>
    <x v="4"/>
    <x v="1"/>
    <x v="0"/>
    <x v="13"/>
    <x v="3"/>
    <x v="6"/>
    <x v="2"/>
  </r>
  <r>
    <s v="TX501085"/>
    <x v="16"/>
    <x v="4"/>
    <x v="138"/>
    <n v="476.40000000000003"/>
    <d v="2025-02-12T00:00:00"/>
    <d v="2025-02-13T00:00:00"/>
    <x v="2"/>
    <x v="0"/>
    <x v="0"/>
    <x v="0"/>
    <x v="21"/>
    <x v="3"/>
    <x v="6"/>
    <x v="2"/>
  </r>
  <r>
    <s v="TX501086"/>
    <x v="7"/>
    <x v="7"/>
    <x v="395"/>
    <n v="589"/>
    <d v="2025-02-12T00:00:00"/>
    <d v="2025-02-14T00:00:00"/>
    <x v="2"/>
    <x v="1"/>
    <x v="4"/>
    <x v="0"/>
    <x v="21"/>
    <x v="1"/>
    <x v="6"/>
    <x v="2"/>
  </r>
  <r>
    <s v="TX501087"/>
    <x v="2"/>
    <x v="1"/>
    <x v="648"/>
    <n v="348.2"/>
    <d v="2025-02-12T00:00:00"/>
    <d v="2025-02-14T00:00:00"/>
    <x v="2"/>
    <x v="0"/>
    <x v="1"/>
    <x v="0"/>
    <x v="46"/>
    <x v="1"/>
    <x v="6"/>
    <x v="2"/>
  </r>
  <r>
    <s v="TX501088"/>
    <x v="6"/>
    <x v="1"/>
    <x v="471"/>
    <n v="141.6"/>
    <d v="2025-02-12T00:00:00"/>
    <d v="2025-02-15T00:00:00"/>
    <x v="1"/>
    <x v="2"/>
    <x v="0"/>
    <x v="0"/>
    <x v="22"/>
    <x v="2"/>
    <x v="6"/>
    <x v="1"/>
  </r>
  <r>
    <s v="TX501089"/>
    <x v="7"/>
    <x v="1"/>
    <x v="214"/>
    <n v="114.8"/>
    <d v="2025-02-12T00:00:00"/>
    <d v="2025-02-14T00:00:00"/>
    <x v="2"/>
    <x v="1"/>
    <x v="1"/>
    <x v="0"/>
    <x v="34"/>
    <x v="1"/>
    <x v="6"/>
    <x v="2"/>
  </r>
  <r>
    <s v="TX501090"/>
    <x v="0"/>
    <x v="1"/>
    <x v="365"/>
    <n v="57"/>
    <d v="2025-02-12T00:00:00"/>
    <d v="2025-02-14T00:00:00"/>
    <x v="1"/>
    <x v="3"/>
    <x v="1"/>
    <x v="0"/>
    <x v="3"/>
    <x v="1"/>
    <x v="6"/>
    <x v="1"/>
  </r>
  <r>
    <s v="TX501091"/>
    <x v="2"/>
    <x v="28"/>
    <x v="649"/>
    <n v="2132"/>
    <d v="2025-02-12T00:00:00"/>
    <d v="2025-02-13T00:00:00"/>
    <x v="0"/>
    <x v="1"/>
    <x v="4"/>
    <x v="0"/>
    <x v="3"/>
    <x v="3"/>
    <x v="6"/>
    <x v="0"/>
  </r>
  <r>
    <s v="TX501092"/>
    <x v="2"/>
    <x v="2"/>
    <x v="650"/>
    <n v="359.1"/>
    <d v="2025-02-12T00:00:00"/>
    <d v="2025-02-13T00:00:00"/>
    <x v="2"/>
    <x v="1"/>
    <x v="4"/>
    <x v="0"/>
    <x v="3"/>
    <x v="3"/>
    <x v="6"/>
    <x v="2"/>
  </r>
  <r>
    <s v="TX501093"/>
    <x v="18"/>
    <x v="0"/>
    <x v="651"/>
    <n v="73.3"/>
    <d v="2025-02-12T00:00:00"/>
    <d v="2025-02-17T00:00:00"/>
    <x v="2"/>
    <x v="0"/>
    <x v="2"/>
    <x v="0"/>
    <x v="3"/>
    <x v="0"/>
    <x v="6"/>
    <x v="2"/>
  </r>
  <r>
    <s v="TX501094"/>
    <x v="0"/>
    <x v="1"/>
    <x v="136"/>
    <n v="51.6"/>
    <d v="2025-02-12T00:00:00"/>
    <d v="2025-02-26T00:00:00"/>
    <x v="1"/>
    <x v="2"/>
    <x v="0"/>
    <x v="0"/>
    <x v="3"/>
    <x v="12"/>
    <x v="6"/>
    <x v="1"/>
  </r>
  <r>
    <s v="TX501095"/>
    <x v="17"/>
    <x v="2"/>
    <x v="182"/>
    <n v="147.30000000000001"/>
    <d v="2025-02-12T00:00:00"/>
    <d v="2025-02-14T00:00:00"/>
    <x v="2"/>
    <x v="0"/>
    <x v="0"/>
    <x v="0"/>
    <x v="24"/>
    <x v="1"/>
    <x v="6"/>
    <x v="2"/>
  </r>
  <r>
    <s v="TX501096"/>
    <x v="1"/>
    <x v="0"/>
    <x v="125"/>
    <n v="44.9"/>
    <d v="2025-02-12T00:00:00"/>
    <d v="2025-02-15T00:00:00"/>
    <x v="2"/>
    <x v="3"/>
    <x v="2"/>
    <x v="0"/>
    <x v="6"/>
    <x v="2"/>
    <x v="6"/>
    <x v="2"/>
  </r>
  <r>
    <s v="TX501097"/>
    <x v="15"/>
    <x v="3"/>
    <x v="32"/>
    <n v="209.29999999999998"/>
    <d v="2025-02-12T00:00:00"/>
    <d v="2025-02-13T00:00:00"/>
    <x v="2"/>
    <x v="0"/>
    <x v="0"/>
    <x v="0"/>
    <x v="6"/>
    <x v="3"/>
    <x v="6"/>
    <x v="2"/>
  </r>
  <r>
    <s v="TX501098"/>
    <x v="7"/>
    <x v="1"/>
    <x v="352"/>
    <n v="108.6"/>
    <d v="2025-02-13T00:00:00"/>
    <d v="2025-02-14T00:00:00"/>
    <x v="1"/>
    <x v="3"/>
    <x v="0"/>
    <x v="0"/>
    <x v="36"/>
    <x v="3"/>
    <x v="6"/>
    <x v="1"/>
  </r>
  <r>
    <s v="TX501099"/>
    <x v="9"/>
    <x v="12"/>
    <x v="551"/>
    <n v="228"/>
    <d v="2025-02-13T00:00:00"/>
    <d v="2025-02-15T00:00:00"/>
    <x v="2"/>
    <x v="0"/>
    <x v="0"/>
    <x v="0"/>
    <x v="8"/>
    <x v="1"/>
    <x v="6"/>
    <x v="2"/>
  </r>
  <r>
    <s v="TX501100"/>
    <x v="2"/>
    <x v="0"/>
    <x v="652"/>
    <n v="139.19999999999999"/>
    <d v="2025-02-13T00:00:00"/>
    <d v="2025-02-14T00:00:00"/>
    <x v="2"/>
    <x v="3"/>
    <x v="2"/>
    <x v="0"/>
    <x v="8"/>
    <x v="3"/>
    <x v="6"/>
    <x v="2"/>
  </r>
  <r>
    <s v="TX501101"/>
    <x v="10"/>
    <x v="0"/>
    <x v="614"/>
    <n v="33"/>
    <d v="2025-02-13T00:00:00"/>
    <d v="2025-02-16T00:00:00"/>
    <x v="2"/>
    <x v="0"/>
    <x v="2"/>
    <x v="0"/>
    <x v="8"/>
    <x v="2"/>
    <x v="6"/>
    <x v="2"/>
  </r>
  <r>
    <s v="TX501102"/>
    <x v="11"/>
    <x v="13"/>
    <x v="454"/>
    <n v="481.20000000000005"/>
    <d v="2025-02-13T00:00:00"/>
    <d v="2025-02-15T00:00:00"/>
    <x v="1"/>
    <x v="1"/>
    <x v="4"/>
    <x v="0"/>
    <x v="8"/>
    <x v="1"/>
    <x v="6"/>
    <x v="1"/>
  </r>
  <r>
    <s v="TX501103"/>
    <x v="18"/>
    <x v="8"/>
    <x v="11"/>
    <n v="392"/>
    <d v="2025-02-13T00:00:00"/>
    <d v="2025-02-14T00:00:00"/>
    <x v="0"/>
    <x v="2"/>
    <x v="1"/>
    <x v="0"/>
    <x v="9"/>
    <x v="3"/>
    <x v="6"/>
    <x v="0"/>
  </r>
  <r>
    <s v="TX501104"/>
    <x v="1"/>
    <x v="12"/>
    <x v="653"/>
    <n v="417.6"/>
    <d v="2025-02-13T00:00:00"/>
    <d v="2025-02-13T00:00:00"/>
    <x v="2"/>
    <x v="0"/>
    <x v="0"/>
    <x v="0"/>
    <x v="9"/>
    <x v="7"/>
    <x v="6"/>
    <x v="2"/>
  </r>
  <r>
    <s v="TX501105"/>
    <x v="3"/>
    <x v="0"/>
    <x v="654"/>
    <n v="41.6"/>
    <d v="2025-02-13T00:00:00"/>
    <d v="2025-02-16T00:00:00"/>
    <x v="1"/>
    <x v="3"/>
    <x v="0"/>
    <x v="0"/>
    <x v="11"/>
    <x v="2"/>
    <x v="6"/>
    <x v="1"/>
  </r>
  <r>
    <s v="TX501106"/>
    <x v="19"/>
    <x v="1"/>
    <x v="655"/>
    <n v="32.799999999999997"/>
    <d v="2025-02-13T00:00:00"/>
    <d v="2025-02-14T00:00:00"/>
    <x v="3"/>
    <x v="0"/>
    <x v="2"/>
    <x v="0"/>
    <x v="11"/>
    <x v="3"/>
    <x v="6"/>
    <x v="3"/>
  </r>
  <r>
    <s v="TX501107"/>
    <x v="8"/>
    <x v="1"/>
    <x v="595"/>
    <n v="44"/>
    <d v="2025-02-13T00:00:00"/>
    <d v="2025-02-14T00:00:00"/>
    <x v="1"/>
    <x v="2"/>
    <x v="2"/>
    <x v="0"/>
    <x v="53"/>
    <x v="3"/>
    <x v="6"/>
    <x v="1"/>
  </r>
  <r>
    <s v="TX501108"/>
    <x v="15"/>
    <x v="1"/>
    <x v="570"/>
    <n v="67.2"/>
    <d v="2025-02-13T00:00:00"/>
    <d v="2025-02-18T00:00:00"/>
    <x v="2"/>
    <x v="0"/>
    <x v="0"/>
    <x v="0"/>
    <x v="21"/>
    <x v="0"/>
    <x v="6"/>
    <x v="2"/>
  </r>
  <r>
    <s v="TX501109"/>
    <x v="11"/>
    <x v="13"/>
    <x v="280"/>
    <n v="258"/>
    <d v="2025-02-13T00:00:00"/>
    <d v="2025-02-14T00:00:00"/>
    <x v="2"/>
    <x v="2"/>
    <x v="0"/>
    <x v="0"/>
    <x v="21"/>
    <x v="3"/>
    <x v="6"/>
    <x v="2"/>
  </r>
  <r>
    <s v="TX501110"/>
    <x v="6"/>
    <x v="9"/>
    <x v="586"/>
    <n v="544"/>
    <d v="2025-02-13T00:00:00"/>
    <d v="2025-02-16T00:00:00"/>
    <x v="2"/>
    <x v="4"/>
    <x v="2"/>
    <x v="0"/>
    <x v="21"/>
    <x v="2"/>
    <x v="6"/>
    <x v="2"/>
  </r>
  <r>
    <s v="TX501111"/>
    <x v="0"/>
    <x v="11"/>
    <x v="143"/>
    <n v="263.7"/>
    <d v="2025-02-13T00:00:00"/>
    <d v="2025-02-15T00:00:00"/>
    <x v="1"/>
    <x v="4"/>
    <x v="2"/>
    <x v="0"/>
    <x v="21"/>
    <x v="1"/>
    <x v="6"/>
    <x v="1"/>
  </r>
  <r>
    <s v="TX501112"/>
    <x v="2"/>
    <x v="0"/>
    <x v="656"/>
    <n v="122.7"/>
    <d v="2025-02-13T00:00:00"/>
    <d v="2025-02-16T00:00:00"/>
    <x v="3"/>
    <x v="0"/>
    <x v="2"/>
    <x v="0"/>
    <x v="1"/>
    <x v="2"/>
    <x v="6"/>
    <x v="3"/>
  </r>
  <r>
    <s v="TX501113"/>
    <x v="4"/>
    <x v="3"/>
    <x v="409"/>
    <n v="160.29999999999998"/>
    <d v="2025-02-13T00:00:00"/>
    <d v="2025-02-14T00:00:00"/>
    <x v="2"/>
    <x v="0"/>
    <x v="0"/>
    <x v="0"/>
    <x v="42"/>
    <x v="3"/>
    <x v="6"/>
    <x v="2"/>
  </r>
  <r>
    <s v="TX501114"/>
    <x v="8"/>
    <x v="7"/>
    <x v="423"/>
    <n v="255"/>
    <d v="2025-02-13T00:00:00"/>
    <d v="2025-02-20T00:00:00"/>
    <x v="2"/>
    <x v="0"/>
    <x v="0"/>
    <x v="0"/>
    <x v="33"/>
    <x v="6"/>
    <x v="6"/>
    <x v="2"/>
  </r>
  <r>
    <s v="TX501115"/>
    <x v="17"/>
    <x v="2"/>
    <x v="139"/>
    <n v="70.199999999999989"/>
    <d v="2025-02-13T00:00:00"/>
    <d v="2025-02-17T00:00:00"/>
    <x v="2"/>
    <x v="0"/>
    <x v="2"/>
    <x v="0"/>
    <x v="3"/>
    <x v="5"/>
    <x v="6"/>
    <x v="2"/>
  </r>
  <r>
    <s v="TX501116"/>
    <x v="5"/>
    <x v="8"/>
    <x v="336"/>
    <n v="219.2"/>
    <d v="2025-02-13T00:00:00"/>
    <d v="2025-02-16T00:00:00"/>
    <x v="2"/>
    <x v="2"/>
    <x v="0"/>
    <x v="0"/>
    <x v="3"/>
    <x v="2"/>
    <x v="6"/>
    <x v="2"/>
  </r>
  <r>
    <s v="TX501117"/>
    <x v="5"/>
    <x v="9"/>
    <x v="657"/>
    <n v="342"/>
    <d v="2025-02-13T00:00:00"/>
    <d v="2025-02-14T00:00:00"/>
    <x v="2"/>
    <x v="0"/>
    <x v="0"/>
    <x v="0"/>
    <x v="3"/>
    <x v="3"/>
    <x v="6"/>
    <x v="2"/>
  </r>
  <r>
    <s v="TX501118"/>
    <x v="6"/>
    <x v="0"/>
    <x v="424"/>
    <n v="51.9"/>
    <d v="2025-02-13T00:00:00"/>
    <d v="2025-02-13T00:00:00"/>
    <x v="2"/>
    <x v="0"/>
    <x v="0"/>
    <x v="0"/>
    <x v="3"/>
    <x v="7"/>
    <x v="6"/>
    <x v="2"/>
  </r>
  <r>
    <s v="TX501119"/>
    <x v="0"/>
    <x v="9"/>
    <x v="23"/>
    <n v="132"/>
    <d v="2025-02-13T00:00:00"/>
    <d v="2025-02-16T00:00:00"/>
    <x v="2"/>
    <x v="0"/>
    <x v="2"/>
    <x v="0"/>
    <x v="3"/>
    <x v="2"/>
    <x v="6"/>
    <x v="2"/>
  </r>
  <r>
    <s v="TX501120"/>
    <x v="12"/>
    <x v="1"/>
    <x v="658"/>
    <n v="234"/>
    <d v="2025-02-13T00:00:00"/>
    <d v="2025-02-14T00:00:00"/>
    <x v="2"/>
    <x v="1"/>
    <x v="1"/>
    <x v="0"/>
    <x v="3"/>
    <x v="3"/>
    <x v="6"/>
    <x v="2"/>
  </r>
  <r>
    <s v="TX501121"/>
    <x v="7"/>
    <x v="2"/>
    <x v="659"/>
    <n v="148.80000000000001"/>
    <d v="2025-02-14T00:00:00"/>
    <d v="2025-02-16T00:00:00"/>
    <x v="2"/>
    <x v="0"/>
    <x v="0"/>
    <x v="0"/>
    <x v="3"/>
    <x v="1"/>
    <x v="6"/>
    <x v="2"/>
  </r>
  <r>
    <s v="TX501122"/>
    <x v="4"/>
    <x v="2"/>
    <x v="545"/>
    <n v="114"/>
    <d v="2025-02-14T00:00:00"/>
    <d v="2025-02-17T00:00:00"/>
    <x v="1"/>
    <x v="2"/>
    <x v="4"/>
    <x v="0"/>
    <x v="3"/>
    <x v="2"/>
    <x v="6"/>
    <x v="1"/>
  </r>
  <r>
    <s v="TX501123"/>
    <x v="0"/>
    <x v="2"/>
    <x v="468"/>
    <n v="61.800000000000004"/>
    <d v="2025-02-14T00:00:00"/>
    <d v="2025-02-16T00:00:00"/>
    <x v="2"/>
    <x v="4"/>
    <x v="2"/>
    <x v="0"/>
    <x v="3"/>
    <x v="1"/>
    <x v="6"/>
    <x v="2"/>
  </r>
  <r>
    <s v="TX501124"/>
    <x v="0"/>
    <x v="1"/>
    <x v="398"/>
    <n v="32"/>
    <d v="2025-02-14T00:00:00"/>
    <d v="2025-02-15T00:00:00"/>
    <x v="1"/>
    <x v="1"/>
    <x v="1"/>
    <x v="0"/>
    <x v="49"/>
    <x v="3"/>
    <x v="6"/>
    <x v="1"/>
  </r>
  <r>
    <s v="TX501125"/>
    <x v="15"/>
    <x v="12"/>
    <x v="660"/>
    <n v="197.2"/>
    <d v="2025-02-14T00:00:00"/>
    <d v="2025-02-15T00:00:00"/>
    <x v="2"/>
    <x v="2"/>
    <x v="0"/>
    <x v="0"/>
    <x v="23"/>
    <x v="3"/>
    <x v="6"/>
    <x v="2"/>
  </r>
  <r>
    <s v="TX501126"/>
    <x v="9"/>
    <x v="1"/>
    <x v="661"/>
    <n v="48.2"/>
    <d v="2025-02-14T00:00:00"/>
    <d v="2025-02-18T00:00:00"/>
    <x v="2"/>
    <x v="0"/>
    <x v="0"/>
    <x v="0"/>
    <x v="6"/>
    <x v="5"/>
    <x v="6"/>
    <x v="2"/>
  </r>
  <r>
    <s v="TX501127"/>
    <x v="15"/>
    <x v="8"/>
    <x v="195"/>
    <n v="261.60000000000002"/>
    <d v="2025-02-14T00:00:00"/>
    <d v="2025-02-15T00:00:00"/>
    <x v="2"/>
    <x v="1"/>
    <x v="0"/>
    <x v="0"/>
    <x v="6"/>
    <x v="3"/>
    <x v="6"/>
    <x v="2"/>
  </r>
  <r>
    <s v="TX501128"/>
    <x v="6"/>
    <x v="2"/>
    <x v="603"/>
    <n v="223.20000000000002"/>
    <d v="2025-02-14T00:00:00"/>
    <d v="2025-02-15T00:00:00"/>
    <x v="2"/>
    <x v="3"/>
    <x v="2"/>
    <x v="0"/>
    <x v="8"/>
    <x v="3"/>
    <x v="6"/>
    <x v="2"/>
  </r>
  <r>
    <s v="TX501129"/>
    <x v="12"/>
    <x v="0"/>
    <x v="357"/>
    <n v="45.6"/>
    <d v="2025-02-14T00:00:00"/>
    <d v="2025-02-18T00:00:00"/>
    <x v="2"/>
    <x v="4"/>
    <x v="0"/>
    <x v="0"/>
    <x v="8"/>
    <x v="5"/>
    <x v="6"/>
    <x v="2"/>
  </r>
  <r>
    <s v="TX501130"/>
    <x v="8"/>
    <x v="8"/>
    <x v="266"/>
    <n v="156.80000000000001"/>
    <d v="2025-02-14T00:00:00"/>
    <d v="2025-02-27T00:00:00"/>
    <x v="2"/>
    <x v="0"/>
    <x v="0"/>
    <x v="0"/>
    <x v="8"/>
    <x v="10"/>
    <x v="6"/>
    <x v="2"/>
  </r>
  <r>
    <s v="TX501131"/>
    <x v="9"/>
    <x v="0"/>
    <x v="147"/>
    <n v="51.8"/>
    <d v="2025-02-14T00:00:00"/>
    <d v="2025-02-15T00:00:00"/>
    <x v="2"/>
    <x v="1"/>
    <x v="0"/>
    <x v="0"/>
    <x v="8"/>
    <x v="3"/>
    <x v="6"/>
    <x v="2"/>
  </r>
  <r>
    <s v="TX501132"/>
    <x v="6"/>
    <x v="0"/>
    <x v="492"/>
    <n v="74.7"/>
    <d v="2025-02-14T00:00:00"/>
    <d v="2025-02-15T00:00:00"/>
    <x v="1"/>
    <x v="0"/>
    <x v="1"/>
    <x v="0"/>
    <x v="8"/>
    <x v="3"/>
    <x v="6"/>
    <x v="1"/>
  </r>
  <r>
    <s v="TX501133"/>
    <x v="19"/>
    <x v="2"/>
    <x v="9"/>
    <n v="67.199999999999989"/>
    <d v="2025-02-14T00:00:00"/>
    <d v="2025-02-15T00:00:00"/>
    <x v="2"/>
    <x v="1"/>
    <x v="2"/>
    <x v="0"/>
    <x v="9"/>
    <x v="3"/>
    <x v="6"/>
    <x v="2"/>
  </r>
  <r>
    <s v="TX501134"/>
    <x v="1"/>
    <x v="12"/>
    <x v="541"/>
    <n v="125.6"/>
    <d v="2025-02-14T00:00:00"/>
    <d v="2025-02-15T00:00:00"/>
    <x v="2"/>
    <x v="1"/>
    <x v="0"/>
    <x v="0"/>
    <x v="9"/>
    <x v="3"/>
    <x v="6"/>
    <x v="2"/>
  </r>
  <r>
    <s v="TX501135"/>
    <x v="6"/>
    <x v="0"/>
    <x v="420"/>
    <n v="94"/>
    <d v="2025-02-14T00:00:00"/>
    <d v="2025-02-14T00:00:00"/>
    <x v="2"/>
    <x v="1"/>
    <x v="2"/>
    <x v="0"/>
    <x v="10"/>
    <x v="7"/>
    <x v="6"/>
    <x v="2"/>
  </r>
  <r>
    <s v="TX501136"/>
    <x v="10"/>
    <x v="0"/>
    <x v="208"/>
    <n v="22.3"/>
    <d v="2025-02-14T00:00:00"/>
    <d v="2025-02-15T00:00:00"/>
    <x v="1"/>
    <x v="4"/>
    <x v="0"/>
    <x v="0"/>
    <x v="20"/>
    <x v="3"/>
    <x v="6"/>
    <x v="1"/>
  </r>
  <r>
    <s v="TX501137"/>
    <x v="0"/>
    <x v="0"/>
    <x v="421"/>
    <n v="21.9"/>
    <d v="2025-02-14T00:00:00"/>
    <d v="2025-02-17T00:00:00"/>
    <x v="2"/>
    <x v="2"/>
    <x v="0"/>
    <x v="0"/>
    <x v="21"/>
    <x v="2"/>
    <x v="6"/>
    <x v="2"/>
  </r>
  <r>
    <s v="TX501138"/>
    <x v="17"/>
    <x v="2"/>
    <x v="49"/>
    <n v="81"/>
    <d v="2025-02-14T00:00:00"/>
    <d v="2025-02-16T00:00:00"/>
    <x v="2"/>
    <x v="4"/>
    <x v="2"/>
    <x v="0"/>
    <x v="2"/>
    <x v="1"/>
    <x v="6"/>
    <x v="2"/>
  </r>
  <r>
    <s v="TX501139"/>
    <x v="2"/>
    <x v="12"/>
    <x v="662"/>
    <n v="598.4"/>
    <d v="2025-02-14T00:00:00"/>
    <d v="2025-02-14T00:00:00"/>
    <x v="2"/>
    <x v="4"/>
    <x v="0"/>
    <x v="0"/>
    <x v="22"/>
    <x v="7"/>
    <x v="6"/>
    <x v="2"/>
  </r>
  <r>
    <s v="TX501140"/>
    <x v="2"/>
    <x v="12"/>
    <x v="663"/>
    <n v="516.4"/>
    <d v="2025-02-14T00:00:00"/>
    <d v="2025-02-24T00:00:00"/>
    <x v="1"/>
    <x v="0"/>
    <x v="1"/>
    <x v="0"/>
    <x v="3"/>
    <x v="14"/>
    <x v="6"/>
    <x v="1"/>
  </r>
  <r>
    <s v="TX501141"/>
    <x v="1"/>
    <x v="4"/>
    <x v="664"/>
    <n v="484.79999999999995"/>
    <d v="2025-02-14T00:00:00"/>
    <d v="2025-02-15T00:00:00"/>
    <x v="1"/>
    <x v="1"/>
    <x v="1"/>
    <x v="0"/>
    <x v="3"/>
    <x v="3"/>
    <x v="6"/>
    <x v="1"/>
  </r>
  <r>
    <s v="TX501142"/>
    <x v="4"/>
    <x v="2"/>
    <x v="286"/>
    <n v="145.5"/>
    <d v="2025-02-14T00:00:00"/>
    <d v="2025-02-16T00:00:00"/>
    <x v="2"/>
    <x v="0"/>
    <x v="4"/>
    <x v="0"/>
    <x v="3"/>
    <x v="1"/>
    <x v="6"/>
    <x v="2"/>
  </r>
  <r>
    <s v="TX501143"/>
    <x v="9"/>
    <x v="1"/>
    <x v="410"/>
    <n v="75.2"/>
    <d v="2025-02-14T00:00:00"/>
    <d v="2025-02-16T00:00:00"/>
    <x v="2"/>
    <x v="1"/>
    <x v="2"/>
    <x v="0"/>
    <x v="3"/>
    <x v="1"/>
    <x v="6"/>
    <x v="2"/>
  </r>
  <r>
    <s v="TX501144"/>
    <x v="8"/>
    <x v="1"/>
    <x v="266"/>
    <n v="39.200000000000003"/>
    <d v="2025-02-14T00:00:00"/>
    <d v="2025-02-15T00:00:00"/>
    <x v="1"/>
    <x v="3"/>
    <x v="4"/>
    <x v="0"/>
    <x v="43"/>
    <x v="3"/>
    <x v="6"/>
    <x v="1"/>
  </r>
  <r>
    <s v="TX501145"/>
    <x v="8"/>
    <x v="9"/>
    <x v="99"/>
    <n v="92.5"/>
    <d v="2025-02-14T00:00:00"/>
    <d v="2025-02-15T00:00:00"/>
    <x v="2"/>
    <x v="2"/>
    <x v="1"/>
    <x v="0"/>
    <x v="6"/>
    <x v="3"/>
    <x v="6"/>
    <x v="2"/>
  </r>
  <r>
    <s v="TX501146"/>
    <x v="5"/>
    <x v="2"/>
    <x v="423"/>
    <n v="76.5"/>
    <d v="2025-02-14T00:00:00"/>
    <d v="2025-02-16T00:00:00"/>
    <x v="2"/>
    <x v="4"/>
    <x v="1"/>
    <x v="0"/>
    <x v="6"/>
    <x v="1"/>
    <x v="6"/>
    <x v="2"/>
  </r>
  <r>
    <s v="TX501147"/>
    <x v="2"/>
    <x v="1"/>
    <x v="568"/>
    <n v="189.4"/>
    <d v="2025-02-14T00:00:00"/>
    <d v="2025-02-15T00:00:00"/>
    <x v="2"/>
    <x v="2"/>
    <x v="0"/>
    <x v="0"/>
    <x v="36"/>
    <x v="3"/>
    <x v="6"/>
    <x v="2"/>
  </r>
  <r>
    <s v="TX501148"/>
    <x v="1"/>
    <x v="13"/>
    <x v="665"/>
    <n v="232.79999999999998"/>
    <d v="2025-02-14T00:00:00"/>
    <d v="2025-02-19T00:00:00"/>
    <x v="2"/>
    <x v="2"/>
    <x v="2"/>
    <x v="0"/>
    <x v="8"/>
    <x v="0"/>
    <x v="6"/>
    <x v="2"/>
  </r>
  <r>
    <s v="TX501149"/>
    <x v="9"/>
    <x v="1"/>
    <x v="183"/>
    <n v="98.8"/>
    <d v="2025-02-15T00:00:00"/>
    <d v="2025-02-23T00:00:00"/>
    <x v="1"/>
    <x v="4"/>
    <x v="1"/>
    <x v="0"/>
    <x v="8"/>
    <x v="9"/>
    <x v="6"/>
    <x v="1"/>
  </r>
  <r>
    <s v="TX501150"/>
    <x v="7"/>
    <x v="2"/>
    <x v="666"/>
    <n v="204"/>
    <d v="2025-02-15T00:00:00"/>
    <d v="2025-02-18T00:00:00"/>
    <x v="1"/>
    <x v="0"/>
    <x v="2"/>
    <x v="0"/>
    <x v="8"/>
    <x v="2"/>
    <x v="6"/>
    <x v="1"/>
  </r>
  <r>
    <s v="TX501151"/>
    <x v="15"/>
    <x v="3"/>
    <x v="46"/>
    <n v="445.90000000000003"/>
    <d v="2025-02-15T00:00:00"/>
    <d v="2025-02-16T00:00:00"/>
    <x v="2"/>
    <x v="2"/>
    <x v="2"/>
    <x v="0"/>
    <x v="8"/>
    <x v="3"/>
    <x v="6"/>
    <x v="2"/>
  </r>
  <r>
    <s v="TX501152"/>
    <x v="10"/>
    <x v="1"/>
    <x v="667"/>
    <n v="132.4"/>
    <d v="2025-02-15T00:00:00"/>
    <d v="2025-02-16T00:00:00"/>
    <x v="2"/>
    <x v="4"/>
    <x v="2"/>
    <x v="0"/>
    <x v="17"/>
    <x v="3"/>
    <x v="6"/>
    <x v="2"/>
  </r>
  <r>
    <s v="TX501153"/>
    <x v="12"/>
    <x v="2"/>
    <x v="240"/>
    <n v="96.899999999999991"/>
    <d v="2025-02-15T00:00:00"/>
    <d v="2025-02-16T00:00:00"/>
    <x v="3"/>
    <x v="2"/>
    <x v="1"/>
    <x v="0"/>
    <x v="9"/>
    <x v="3"/>
    <x v="6"/>
    <x v="3"/>
  </r>
  <r>
    <s v="TX501154"/>
    <x v="4"/>
    <x v="1"/>
    <x v="668"/>
    <n v="133.80000000000001"/>
    <d v="2025-02-15T00:00:00"/>
    <d v="2025-02-18T00:00:00"/>
    <x v="1"/>
    <x v="1"/>
    <x v="0"/>
    <x v="0"/>
    <x v="11"/>
    <x v="2"/>
    <x v="6"/>
    <x v="1"/>
  </r>
  <r>
    <s v="TX501155"/>
    <x v="4"/>
    <x v="4"/>
    <x v="19"/>
    <n v="302.39999999999998"/>
    <d v="2025-02-15T00:00:00"/>
    <d v="2025-02-19T00:00:00"/>
    <x v="2"/>
    <x v="0"/>
    <x v="1"/>
    <x v="0"/>
    <x v="11"/>
    <x v="5"/>
    <x v="6"/>
    <x v="2"/>
  </r>
  <r>
    <s v="TX501156"/>
    <x v="10"/>
    <x v="13"/>
    <x v="669"/>
    <n v="177"/>
    <d v="2025-02-15T00:00:00"/>
    <d v="2025-02-16T00:00:00"/>
    <x v="1"/>
    <x v="2"/>
    <x v="0"/>
    <x v="0"/>
    <x v="11"/>
    <x v="3"/>
    <x v="6"/>
    <x v="1"/>
  </r>
  <r>
    <s v="TX501157"/>
    <x v="8"/>
    <x v="9"/>
    <x v="592"/>
    <n v="108"/>
    <d v="2025-02-15T00:00:00"/>
    <d v="2025-02-17T00:00:00"/>
    <x v="2"/>
    <x v="0"/>
    <x v="2"/>
    <x v="0"/>
    <x v="32"/>
    <x v="1"/>
    <x v="6"/>
    <x v="2"/>
  </r>
  <r>
    <s v="TX501158"/>
    <x v="12"/>
    <x v="2"/>
    <x v="192"/>
    <n v="207"/>
    <d v="2025-02-15T00:00:00"/>
    <d v="2025-02-16T00:00:00"/>
    <x v="2"/>
    <x v="0"/>
    <x v="0"/>
    <x v="0"/>
    <x v="18"/>
    <x v="3"/>
    <x v="6"/>
    <x v="2"/>
  </r>
  <r>
    <s v="TX501159"/>
    <x v="7"/>
    <x v="1"/>
    <x v="670"/>
    <n v="230"/>
    <d v="2025-02-15T00:00:00"/>
    <d v="2025-02-19T00:00:00"/>
    <x v="1"/>
    <x v="0"/>
    <x v="2"/>
    <x v="0"/>
    <x v="18"/>
    <x v="5"/>
    <x v="6"/>
    <x v="1"/>
  </r>
  <r>
    <s v="TX501160"/>
    <x v="2"/>
    <x v="1"/>
    <x v="671"/>
    <n v="218.6"/>
    <d v="2025-02-15T00:00:00"/>
    <d v="2025-02-17T00:00:00"/>
    <x v="0"/>
    <x v="3"/>
    <x v="1"/>
    <x v="0"/>
    <x v="19"/>
    <x v="1"/>
    <x v="6"/>
    <x v="0"/>
  </r>
  <r>
    <s v="TX501161"/>
    <x v="9"/>
    <x v="1"/>
    <x v="450"/>
    <n v="133.19999999999999"/>
    <d v="2025-02-15T00:00:00"/>
    <d v="2025-02-18T00:00:00"/>
    <x v="0"/>
    <x v="4"/>
    <x v="1"/>
    <x v="0"/>
    <x v="19"/>
    <x v="2"/>
    <x v="6"/>
    <x v="0"/>
  </r>
  <r>
    <s v="TX501162"/>
    <x v="12"/>
    <x v="9"/>
    <x v="672"/>
    <n v="238.5"/>
    <d v="2025-02-15T00:00:00"/>
    <d v="2025-02-16T00:00:00"/>
    <x v="1"/>
    <x v="3"/>
    <x v="2"/>
    <x v="0"/>
    <x v="21"/>
    <x v="3"/>
    <x v="6"/>
    <x v="1"/>
  </r>
  <r>
    <s v="TX501163"/>
    <x v="8"/>
    <x v="1"/>
    <x v="544"/>
    <n v="92"/>
    <d v="2025-02-15T00:00:00"/>
    <d v="2025-02-16T00:00:00"/>
    <x v="2"/>
    <x v="4"/>
    <x v="4"/>
    <x v="0"/>
    <x v="22"/>
    <x v="3"/>
    <x v="6"/>
    <x v="2"/>
  </r>
  <r>
    <s v="TX501164"/>
    <x v="1"/>
    <x v="13"/>
    <x v="418"/>
    <n v="235.79999999999998"/>
    <d v="2025-02-15T00:00:00"/>
    <d v="2025-02-17T00:00:00"/>
    <x v="1"/>
    <x v="3"/>
    <x v="2"/>
    <x v="0"/>
    <x v="3"/>
    <x v="1"/>
    <x v="6"/>
    <x v="1"/>
  </r>
  <r>
    <s v="TX501165"/>
    <x v="9"/>
    <x v="0"/>
    <x v="673"/>
    <n v="70.2"/>
    <d v="2025-02-15T00:00:00"/>
    <d v="2025-02-16T00:00:00"/>
    <x v="2"/>
    <x v="0"/>
    <x v="4"/>
    <x v="0"/>
    <x v="3"/>
    <x v="3"/>
    <x v="6"/>
    <x v="2"/>
  </r>
  <r>
    <s v="TX501166"/>
    <x v="3"/>
    <x v="12"/>
    <x v="674"/>
    <n v="286"/>
    <d v="2025-02-15T00:00:00"/>
    <d v="2025-02-15T00:00:00"/>
    <x v="2"/>
    <x v="1"/>
    <x v="2"/>
    <x v="0"/>
    <x v="3"/>
    <x v="7"/>
    <x v="6"/>
    <x v="2"/>
  </r>
  <r>
    <s v="TX501167"/>
    <x v="10"/>
    <x v="3"/>
    <x v="452"/>
    <n v="217"/>
    <d v="2025-02-15T00:00:00"/>
    <d v="2025-02-22T00:00:00"/>
    <x v="2"/>
    <x v="3"/>
    <x v="2"/>
    <x v="0"/>
    <x v="3"/>
    <x v="6"/>
    <x v="6"/>
    <x v="2"/>
  </r>
  <r>
    <s v="TX501168"/>
    <x v="2"/>
    <x v="9"/>
    <x v="197"/>
    <n v="341"/>
    <d v="2025-02-15T00:00:00"/>
    <d v="2025-02-20T00:00:00"/>
    <x v="2"/>
    <x v="0"/>
    <x v="2"/>
    <x v="0"/>
    <x v="3"/>
    <x v="0"/>
    <x v="6"/>
    <x v="2"/>
  </r>
  <r>
    <s v="TX501169"/>
    <x v="2"/>
    <x v="0"/>
    <x v="338"/>
    <n v="91.4"/>
    <d v="2025-02-15T00:00:00"/>
    <d v="2025-02-19T00:00:00"/>
    <x v="2"/>
    <x v="1"/>
    <x v="2"/>
    <x v="0"/>
    <x v="6"/>
    <x v="5"/>
    <x v="6"/>
    <x v="2"/>
  </r>
  <r>
    <s v="TX501170"/>
    <x v="6"/>
    <x v="7"/>
    <x v="675"/>
    <n v="1129"/>
    <d v="2025-02-15T00:00:00"/>
    <d v="2025-02-16T00:00:00"/>
    <x v="2"/>
    <x v="0"/>
    <x v="0"/>
    <x v="0"/>
    <x v="6"/>
    <x v="3"/>
    <x v="6"/>
    <x v="2"/>
  </r>
  <r>
    <s v="TX501171"/>
    <x v="17"/>
    <x v="11"/>
    <x v="532"/>
    <n v="303.3"/>
    <d v="2025-02-15T00:00:00"/>
    <d v="2025-02-16T00:00:00"/>
    <x v="2"/>
    <x v="1"/>
    <x v="2"/>
    <x v="0"/>
    <x v="8"/>
    <x v="3"/>
    <x v="6"/>
    <x v="2"/>
  </r>
  <r>
    <s v="TX501172"/>
    <x v="15"/>
    <x v="7"/>
    <x v="341"/>
    <n v="353"/>
    <d v="2025-02-15T00:00:00"/>
    <d v="2025-02-17T00:00:00"/>
    <x v="1"/>
    <x v="2"/>
    <x v="0"/>
    <x v="0"/>
    <x v="8"/>
    <x v="1"/>
    <x v="6"/>
    <x v="1"/>
  </r>
  <r>
    <s v="TX501173"/>
    <x v="18"/>
    <x v="2"/>
    <x v="357"/>
    <n v="136.80000000000001"/>
    <d v="2025-02-15T00:00:00"/>
    <d v="2025-02-19T00:00:00"/>
    <x v="1"/>
    <x v="3"/>
    <x v="0"/>
    <x v="0"/>
    <x v="8"/>
    <x v="5"/>
    <x v="6"/>
    <x v="1"/>
  </r>
  <r>
    <s v="TX501174"/>
    <x v="7"/>
    <x v="3"/>
    <x v="344"/>
    <n v="329.7"/>
    <d v="2025-02-15T00:00:00"/>
    <d v="2025-02-16T00:00:00"/>
    <x v="2"/>
    <x v="4"/>
    <x v="2"/>
    <x v="0"/>
    <x v="9"/>
    <x v="3"/>
    <x v="6"/>
    <x v="2"/>
  </r>
  <r>
    <s v="TX501175"/>
    <x v="8"/>
    <x v="9"/>
    <x v="261"/>
    <n v="81"/>
    <d v="2025-02-15T00:00:00"/>
    <d v="2025-02-17T00:00:00"/>
    <x v="2"/>
    <x v="3"/>
    <x v="2"/>
    <x v="0"/>
    <x v="19"/>
    <x v="1"/>
    <x v="6"/>
    <x v="2"/>
  </r>
  <r>
    <s v="TX501176"/>
    <x v="1"/>
    <x v="1"/>
    <x v="676"/>
    <n v="319.39999999999998"/>
    <d v="2025-02-16T00:00:00"/>
    <d v="2025-02-17T00:00:00"/>
    <x v="1"/>
    <x v="4"/>
    <x v="0"/>
    <x v="0"/>
    <x v="13"/>
    <x v="3"/>
    <x v="7"/>
    <x v="1"/>
  </r>
  <r>
    <s v="TX501177"/>
    <x v="8"/>
    <x v="12"/>
    <x v="129"/>
    <n v="76"/>
    <d v="2025-02-16T00:00:00"/>
    <d v="2025-02-23T00:00:00"/>
    <x v="2"/>
    <x v="2"/>
    <x v="2"/>
    <x v="0"/>
    <x v="21"/>
    <x v="6"/>
    <x v="7"/>
    <x v="2"/>
  </r>
  <r>
    <s v="TX501178"/>
    <x v="6"/>
    <x v="13"/>
    <x v="677"/>
    <n v="546.59999999999991"/>
    <d v="2025-02-16T00:00:00"/>
    <d v="2025-02-25T00:00:00"/>
    <x v="2"/>
    <x v="4"/>
    <x v="0"/>
    <x v="0"/>
    <x v="21"/>
    <x v="8"/>
    <x v="7"/>
    <x v="2"/>
  </r>
  <r>
    <s v="TX501179"/>
    <x v="2"/>
    <x v="9"/>
    <x v="252"/>
    <n v="470.5"/>
    <d v="2025-02-16T00:00:00"/>
    <d v="2025-02-19T00:00:00"/>
    <x v="0"/>
    <x v="1"/>
    <x v="1"/>
    <x v="0"/>
    <x v="21"/>
    <x v="2"/>
    <x v="7"/>
    <x v="0"/>
  </r>
  <r>
    <s v="TX501180"/>
    <x v="9"/>
    <x v="11"/>
    <x v="438"/>
    <n v="189.9"/>
    <d v="2025-02-16T00:00:00"/>
    <d v="2025-02-17T00:00:00"/>
    <x v="2"/>
    <x v="4"/>
    <x v="2"/>
    <x v="0"/>
    <x v="51"/>
    <x v="3"/>
    <x v="7"/>
    <x v="2"/>
  </r>
  <r>
    <s v="TX501181"/>
    <x v="8"/>
    <x v="3"/>
    <x v="678"/>
    <n v="107.10000000000001"/>
    <d v="2025-02-16T00:00:00"/>
    <d v="2025-02-24T00:00:00"/>
    <x v="2"/>
    <x v="2"/>
    <x v="0"/>
    <x v="0"/>
    <x v="1"/>
    <x v="9"/>
    <x v="7"/>
    <x v="2"/>
  </r>
  <r>
    <s v="TX501182"/>
    <x v="15"/>
    <x v="12"/>
    <x v="210"/>
    <n v="85.2"/>
    <d v="2025-02-16T00:00:00"/>
    <d v="2025-02-19T00:00:00"/>
    <x v="1"/>
    <x v="1"/>
    <x v="0"/>
    <x v="0"/>
    <x v="3"/>
    <x v="2"/>
    <x v="7"/>
    <x v="1"/>
  </r>
  <r>
    <s v="TX501183"/>
    <x v="0"/>
    <x v="1"/>
    <x v="372"/>
    <n v="46.4"/>
    <d v="2025-02-16T00:00:00"/>
    <d v="2025-02-16T00:00:00"/>
    <x v="0"/>
    <x v="3"/>
    <x v="1"/>
    <x v="0"/>
    <x v="3"/>
    <x v="7"/>
    <x v="7"/>
    <x v="0"/>
  </r>
  <r>
    <s v="TX501184"/>
    <x v="4"/>
    <x v="2"/>
    <x v="679"/>
    <n v="77.099999999999994"/>
    <d v="2025-02-16T00:00:00"/>
    <d v="2025-02-17T00:00:00"/>
    <x v="1"/>
    <x v="4"/>
    <x v="0"/>
    <x v="0"/>
    <x v="3"/>
    <x v="3"/>
    <x v="7"/>
    <x v="1"/>
  </r>
  <r>
    <s v="TX501185"/>
    <x v="0"/>
    <x v="11"/>
    <x v="680"/>
    <n v="284.40000000000003"/>
    <d v="2025-02-16T00:00:00"/>
    <d v="2025-02-18T00:00:00"/>
    <x v="2"/>
    <x v="0"/>
    <x v="0"/>
    <x v="0"/>
    <x v="3"/>
    <x v="1"/>
    <x v="7"/>
    <x v="2"/>
  </r>
  <r>
    <s v="TX501186"/>
    <x v="6"/>
    <x v="0"/>
    <x v="58"/>
    <n v="64.2"/>
    <d v="2025-02-16T00:00:00"/>
    <d v="2025-02-21T00:00:00"/>
    <x v="1"/>
    <x v="0"/>
    <x v="0"/>
    <x v="0"/>
    <x v="3"/>
    <x v="0"/>
    <x v="7"/>
    <x v="1"/>
  </r>
  <r>
    <s v="TX501187"/>
    <x v="8"/>
    <x v="1"/>
    <x v="502"/>
    <n v="111.6"/>
    <d v="2025-02-16T00:00:00"/>
    <d v="2025-02-18T00:00:00"/>
    <x v="0"/>
    <x v="0"/>
    <x v="0"/>
    <x v="0"/>
    <x v="3"/>
    <x v="1"/>
    <x v="7"/>
    <x v="0"/>
  </r>
  <r>
    <s v="TX501188"/>
    <x v="8"/>
    <x v="1"/>
    <x v="257"/>
    <n v="56.2"/>
    <d v="2025-02-16T00:00:00"/>
    <d v="2025-02-17T00:00:00"/>
    <x v="2"/>
    <x v="4"/>
    <x v="1"/>
    <x v="0"/>
    <x v="3"/>
    <x v="3"/>
    <x v="7"/>
    <x v="2"/>
  </r>
  <r>
    <s v="TX501189"/>
    <x v="0"/>
    <x v="1"/>
    <x v="463"/>
    <n v="23.2"/>
    <d v="2025-02-16T00:00:00"/>
    <d v="2025-02-18T00:00:00"/>
    <x v="2"/>
    <x v="1"/>
    <x v="0"/>
    <x v="0"/>
    <x v="24"/>
    <x v="1"/>
    <x v="7"/>
    <x v="2"/>
  </r>
  <r>
    <s v="TX501190"/>
    <x v="5"/>
    <x v="2"/>
    <x v="88"/>
    <n v="151.19999999999999"/>
    <d v="2025-02-16T00:00:00"/>
    <d v="2025-02-17T00:00:00"/>
    <x v="1"/>
    <x v="4"/>
    <x v="2"/>
    <x v="0"/>
    <x v="25"/>
    <x v="3"/>
    <x v="7"/>
    <x v="1"/>
  </r>
  <r>
    <s v="TX501191"/>
    <x v="6"/>
    <x v="13"/>
    <x v="591"/>
    <n v="289.79999999999995"/>
    <d v="2025-02-16T00:00:00"/>
    <d v="2025-02-20T00:00:00"/>
    <x v="2"/>
    <x v="0"/>
    <x v="0"/>
    <x v="0"/>
    <x v="25"/>
    <x v="5"/>
    <x v="7"/>
    <x v="2"/>
  </r>
  <r>
    <s v="TX501192"/>
    <x v="17"/>
    <x v="3"/>
    <x v="380"/>
    <n v="225.40000000000003"/>
    <d v="2025-02-16T00:00:00"/>
    <d v="2025-02-18T00:00:00"/>
    <x v="2"/>
    <x v="2"/>
    <x v="0"/>
    <x v="0"/>
    <x v="25"/>
    <x v="1"/>
    <x v="7"/>
    <x v="2"/>
  </r>
  <r>
    <s v="TX501193"/>
    <x v="7"/>
    <x v="31"/>
    <x v="286"/>
    <n v="1358"/>
    <d v="2025-02-16T00:00:00"/>
    <d v="2025-02-17T00:00:00"/>
    <x v="1"/>
    <x v="0"/>
    <x v="0"/>
    <x v="0"/>
    <x v="5"/>
    <x v="3"/>
    <x v="7"/>
    <x v="1"/>
  </r>
  <r>
    <s v="TX501194"/>
    <x v="2"/>
    <x v="9"/>
    <x v="205"/>
    <n v="310"/>
    <d v="2025-02-16T00:00:00"/>
    <d v="2025-02-19T00:00:00"/>
    <x v="2"/>
    <x v="1"/>
    <x v="0"/>
    <x v="0"/>
    <x v="6"/>
    <x v="2"/>
    <x v="7"/>
    <x v="2"/>
  </r>
  <r>
    <s v="TX501195"/>
    <x v="8"/>
    <x v="2"/>
    <x v="201"/>
    <n v="96.300000000000011"/>
    <d v="2025-02-17T00:00:00"/>
    <d v="2025-02-19T00:00:00"/>
    <x v="1"/>
    <x v="0"/>
    <x v="0"/>
    <x v="0"/>
    <x v="6"/>
    <x v="1"/>
    <x v="7"/>
    <x v="1"/>
  </r>
  <r>
    <s v="TX501196"/>
    <x v="12"/>
    <x v="2"/>
    <x v="681"/>
    <n v="318.29999999999995"/>
    <d v="2025-02-17T00:00:00"/>
    <d v="2025-02-19T00:00:00"/>
    <x v="1"/>
    <x v="0"/>
    <x v="1"/>
    <x v="0"/>
    <x v="7"/>
    <x v="1"/>
    <x v="7"/>
    <x v="1"/>
  </r>
  <r>
    <s v="TX501197"/>
    <x v="10"/>
    <x v="2"/>
    <x v="234"/>
    <n v="70.5"/>
    <d v="2025-02-17T00:00:00"/>
    <d v="2025-02-20T00:00:00"/>
    <x v="1"/>
    <x v="0"/>
    <x v="4"/>
    <x v="0"/>
    <x v="7"/>
    <x v="2"/>
    <x v="7"/>
    <x v="1"/>
  </r>
  <r>
    <s v="TX501198"/>
    <x v="1"/>
    <x v="1"/>
    <x v="533"/>
    <n v="71.2"/>
    <d v="2025-02-17T00:00:00"/>
    <d v="2025-02-22T00:00:00"/>
    <x v="1"/>
    <x v="4"/>
    <x v="0"/>
    <x v="0"/>
    <x v="8"/>
    <x v="0"/>
    <x v="7"/>
    <x v="1"/>
  </r>
  <r>
    <s v="TX501199"/>
    <x v="1"/>
    <x v="1"/>
    <x v="427"/>
    <n v="127"/>
    <d v="2025-02-17T00:00:00"/>
    <d v="2025-02-17T00:00:00"/>
    <x v="2"/>
    <x v="1"/>
    <x v="2"/>
    <x v="0"/>
    <x v="8"/>
    <x v="7"/>
    <x v="7"/>
    <x v="2"/>
  </r>
  <r>
    <s v="TX501200"/>
    <x v="6"/>
    <x v="3"/>
    <x v="682"/>
    <n v="580.30000000000007"/>
    <d v="2025-02-17T00:00:00"/>
    <d v="2025-02-22T00:00:00"/>
    <x v="2"/>
    <x v="4"/>
    <x v="0"/>
    <x v="0"/>
    <x v="9"/>
    <x v="0"/>
    <x v="7"/>
    <x v="2"/>
  </r>
  <r>
    <s v="TX501201"/>
    <x v="6"/>
    <x v="1"/>
    <x v="331"/>
    <n v="167.2"/>
    <d v="2025-02-17T00:00:00"/>
    <d v="2025-02-22T00:00:00"/>
    <x v="2"/>
    <x v="0"/>
    <x v="0"/>
    <x v="0"/>
    <x v="11"/>
    <x v="0"/>
    <x v="7"/>
    <x v="2"/>
  </r>
  <r>
    <s v="TX501202"/>
    <x v="4"/>
    <x v="1"/>
    <x v="647"/>
    <n v="58.8"/>
    <d v="2025-02-17T00:00:00"/>
    <d v="2025-02-17T00:00:00"/>
    <x v="2"/>
    <x v="0"/>
    <x v="1"/>
    <x v="0"/>
    <x v="30"/>
    <x v="7"/>
    <x v="7"/>
    <x v="2"/>
  </r>
  <r>
    <s v="TX501203"/>
    <x v="2"/>
    <x v="2"/>
    <x v="683"/>
    <n v="321.29999999999995"/>
    <d v="2025-02-17T00:00:00"/>
    <d v="2025-02-21T00:00:00"/>
    <x v="2"/>
    <x v="2"/>
    <x v="0"/>
    <x v="0"/>
    <x v="20"/>
    <x v="5"/>
    <x v="7"/>
    <x v="2"/>
  </r>
  <r>
    <s v="TX501204"/>
    <x v="2"/>
    <x v="0"/>
    <x v="407"/>
    <n v="62.7"/>
    <d v="2025-02-17T00:00:00"/>
    <d v="2025-02-21T00:00:00"/>
    <x v="1"/>
    <x v="1"/>
    <x v="0"/>
    <x v="0"/>
    <x v="21"/>
    <x v="5"/>
    <x v="7"/>
    <x v="1"/>
  </r>
  <r>
    <s v="TX501205"/>
    <x v="11"/>
    <x v="0"/>
    <x v="654"/>
    <n v="41.6"/>
    <d v="2025-02-17T00:00:00"/>
    <d v="2025-02-18T00:00:00"/>
    <x v="1"/>
    <x v="0"/>
    <x v="1"/>
    <x v="0"/>
    <x v="1"/>
    <x v="3"/>
    <x v="7"/>
    <x v="1"/>
  </r>
  <r>
    <s v="TX501206"/>
    <x v="6"/>
    <x v="0"/>
    <x v="236"/>
    <n v="44.2"/>
    <d v="2025-02-17T00:00:00"/>
    <d v="2025-02-18T00:00:00"/>
    <x v="3"/>
    <x v="0"/>
    <x v="1"/>
    <x v="0"/>
    <x v="1"/>
    <x v="3"/>
    <x v="7"/>
    <x v="3"/>
  </r>
  <r>
    <s v="TX501207"/>
    <x v="4"/>
    <x v="13"/>
    <x v="664"/>
    <n v="242.39999999999998"/>
    <d v="2025-02-17T00:00:00"/>
    <d v="2025-03-02T00:00:00"/>
    <x v="2"/>
    <x v="2"/>
    <x v="0"/>
    <x v="0"/>
    <x v="22"/>
    <x v="10"/>
    <x v="7"/>
    <x v="2"/>
  </r>
  <r>
    <s v="TX501208"/>
    <x v="15"/>
    <x v="13"/>
    <x v="684"/>
    <n v="357.6"/>
    <d v="2025-02-17T00:00:00"/>
    <d v="2025-02-18T00:00:00"/>
    <x v="2"/>
    <x v="4"/>
    <x v="0"/>
    <x v="0"/>
    <x v="34"/>
    <x v="3"/>
    <x v="7"/>
    <x v="2"/>
  </r>
  <r>
    <s v="TX501209"/>
    <x v="17"/>
    <x v="4"/>
    <x v="259"/>
    <n v="765.59999999999991"/>
    <d v="2025-02-17T00:00:00"/>
    <d v="2025-02-18T00:00:00"/>
    <x v="1"/>
    <x v="1"/>
    <x v="0"/>
    <x v="0"/>
    <x v="3"/>
    <x v="3"/>
    <x v="7"/>
    <x v="1"/>
  </r>
  <r>
    <s v="TX501210"/>
    <x v="9"/>
    <x v="13"/>
    <x v="607"/>
    <n v="184.8"/>
    <d v="2025-02-17T00:00:00"/>
    <d v="2025-02-19T00:00:00"/>
    <x v="1"/>
    <x v="4"/>
    <x v="0"/>
    <x v="0"/>
    <x v="3"/>
    <x v="1"/>
    <x v="7"/>
    <x v="1"/>
  </r>
  <r>
    <s v="TX501211"/>
    <x v="1"/>
    <x v="1"/>
    <x v="329"/>
    <n v="83"/>
    <d v="2025-02-17T00:00:00"/>
    <d v="2025-02-20T00:00:00"/>
    <x v="3"/>
    <x v="0"/>
    <x v="0"/>
    <x v="0"/>
    <x v="3"/>
    <x v="2"/>
    <x v="7"/>
    <x v="3"/>
  </r>
  <r>
    <s v="TX501212"/>
    <x v="10"/>
    <x v="12"/>
    <x v="613"/>
    <n v="178.8"/>
    <d v="2025-02-17T00:00:00"/>
    <d v="2025-02-19T00:00:00"/>
    <x v="2"/>
    <x v="2"/>
    <x v="1"/>
    <x v="0"/>
    <x v="3"/>
    <x v="1"/>
    <x v="7"/>
    <x v="2"/>
  </r>
  <r>
    <s v="TX501213"/>
    <x v="12"/>
    <x v="1"/>
    <x v="444"/>
    <n v="128.19999999999999"/>
    <d v="2025-02-17T00:00:00"/>
    <d v="2025-02-21T00:00:00"/>
    <x v="2"/>
    <x v="1"/>
    <x v="4"/>
    <x v="0"/>
    <x v="3"/>
    <x v="5"/>
    <x v="7"/>
    <x v="2"/>
  </r>
  <r>
    <s v="TX501214"/>
    <x v="8"/>
    <x v="0"/>
    <x v="496"/>
    <n v="15.9"/>
    <d v="2025-02-17T00:00:00"/>
    <d v="2025-02-20T00:00:00"/>
    <x v="0"/>
    <x v="1"/>
    <x v="0"/>
    <x v="0"/>
    <x v="3"/>
    <x v="2"/>
    <x v="7"/>
    <x v="0"/>
  </r>
  <r>
    <s v="TX501215"/>
    <x v="6"/>
    <x v="1"/>
    <x v="685"/>
    <n v="157.4"/>
    <d v="2025-02-17T00:00:00"/>
    <d v="2025-02-17T00:00:00"/>
    <x v="2"/>
    <x v="2"/>
    <x v="1"/>
    <x v="0"/>
    <x v="3"/>
    <x v="7"/>
    <x v="7"/>
    <x v="2"/>
  </r>
  <r>
    <s v="TX501216"/>
    <x v="5"/>
    <x v="4"/>
    <x v="686"/>
    <n v="355.20000000000005"/>
    <d v="2025-02-17T00:00:00"/>
    <d v="2025-02-21T00:00:00"/>
    <x v="1"/>
    <x v="2"/>
    <x v="4"/>
    <x v="0"/>
    <x v="3"/>
    <x v="5"/>
    <x v="7"/>
    <x v="1"/>
  </r>
  <r>
    <s v="TX501217"/>
    <x v="8"/>
    <x v="12"/>
    <x v="332"/>
    <n v="86"/>
    <d v="2025-02-17T00:00:00"/>
    <d v="2025-02-20T00:00:00"/>
    <x v="1"/>
    <x v="1"/>
    <x v="0"/>
    <x v="0"/>
    <x v="3"/>
    <x v="2"/>
    <x v="7"/>
    <x v="1"/>
  </r>
  <r>
    <s v="TX501218"/>
    <x v="9"/>
    <x v="2"/>
    <x v="285"/>
    <n v="224.70000000000002"/>
    <d v="2025-02-17T00:00:00"/>
    <d v="2025-02-26T00:00:00"/>
    <x v="1"/>
    <x v="3"/>
    <x v="1"/>
    <x v="0"/>
    <x v="3"/>
    <x v="8"/>
    <x v="7"/>
    <x v="1"/>
  </r>
  <r>
    <s v="TX501219"/>
    <x v="10"/>
    <x v="13"/>
    <x v="303"/>
    <n v="270"/>
    <d v="2025-02-17T00:00:00"/>
    <d v="2025-02-22T00:00:00"/>
    <x v="2"/>
    <x v="2"/>
    <x v="0"/>
    <x v="0"/>
    <x v="3"/>
    <x v="0"/>
    <x v="7"/>
    <x v="2"/>
  </r>
  <r>
    <s v="TX501220"/>
    <x v="7"/>
    <x v="33"/>
    <x v="430"/>
    <n v="1288.5999999999999"/>
    <d v="2025-02-17T00:00:00"/>
    <d v="2025-02-18T00:00:00"/>
    <x v="1"/>
    <x v="0"/>
    <x v="0"/>
    <x v="0"/>
    <x v="3"/>
    <x v="3"/>
    <x v="7"/>
    <x v="1"/>
  </r>
  <r>
    <s v="TX501221"/>
    <x v="6"/>
    <x v="2"/>
    <x v="472"/>
    <n v="169.8"/>
    <d v="2025-02-17T00:00:00"/>
    <d v="2025-02-18T00:00:00"/>
    <x v="1"/>
    <x v="3"/>
    <x v="0"/>
    <x v="0"/>
    <x v="3"/>
    <x v="3"/>
    <x v="7"/>
    <x v="1"/>
  </r>
  <r>
    <s v="TX501222"/>
    <x v="3"/>
    <x v="15"/>
    <x v="100"/>
    <n v="1098.5"/>
    <d v="2025-02-17T00:00:00"/>
    <d v="2025-02-20T00:00:00"/>
    <x v="2"/>
    <x v="1"/>
    <x v="4"/>
    <x v="0"/>
    <x v="3"/>
    <x v="2"/>
    <x v="7"/>
    <x v="2"/>
  </r>
  <r>
    <s v="TX501223"/>
    <x v="2"/>
    <x v="9"/>
    <x v="460"/>
    <n v="527"/>
    <d v="2025-02-17T00:00:00"/>
    <d v="2025-02-19T00:00:00"/>
    <x v="2"/>
    <x v="1"/>
    <x v="1"/>
    <x v="0"/>
    <x v="3"/>
    <x v="1"/>
    <x v="7"/>
    <x v="2"/>
  </r>
  <r>
    <s v="TX501224"/>
    <x v="18"/>
    <x v="3"/>
    <x v="632"/>
    <n v="275.8"/>
    <d v="2025-02-18T00:00:00"/>
    <d v="2025-02-18T00:00:00"/>
    <x v="1"/>
    <x v="1"/>
    <x v="0"/>
    <x v="0"/>
    <x v="37"/>
    <x v="7"/>
    <x v="7"/>
    <x v="1"/>
  </r>
  <r>
    <s v="TX501225"/>
    <x v="19"/>
    <x v="2"/>
    <x v="545"/>
    <n v="114"/>
    <d v="2025-02-18T00:00:00"/>
    <d v="2025-02-21T00:00:00"/>
    <x v="1"/>
    <x v="4"/>
    <x v="1"/>
    <x v="0"/>
    <x v="6"/>
    <x v="2"/>
    <x v="7"/>
    <x v="1"/>
  </r>
  <r>
    <s v="TX501226"/>
    <x v="17"/>
    <x v="12"/>
    <x v="687"/>
    <n v="170"/>
    <d v="2025-02-18T00:00:00"/>
    <d v="2025-02-20T00:00:00"/>
    <x v="0"/>
    <x v="0"/>
    <x v="0"/>
    <x v="0"/>
    <x v="6"/>
    <x v="1"/>
    <x v="7"/>
    <x v="0"/>
  </r>
  <r>
    <s v="TX501227"/>
    <x v="15"/>
    <x v="0"/>
    <x v="556"/>
    <n v="62.3"/>
    <d v="2025-02-18T00:00:00"/>
    <d v="2025-02-27T00:00:00"/>
    <x v="1"/>
    <x v="0"/>
    <x v="2"/>
    <x v="0"/>
    <x v="6"/>
    <x v="8"/>
    <x v="7"/>
    <x v="1"/>
  </r>
  <r>
    <s v="TX501228"/>
    <x v="6"/>
    <x v="9"/>
    <x v="182"/>
    <n v="245.5"/>
    <d v="2025-02-18T00:00:00"/>
    <d v="2025-02-20T00:00:00"/>
    <x v="2"/>
    <x v="1"/>
    <x v="2"/>
    <x v="0"/>
    <x v="7"/>
    <x v="1"/>
    <x v="7"/>
    <x v="2"/>
  </r>
  <r>
    <s v="TX501229"/>
    <x v="3"/>
    <x v="1"/>
    <x v="162"/>
    <n v="61"/>
    <d v="2025-02-18T00:00:00"/>
    <d v="2025-02-21T00:00:00"/>
    <x v="1"/>
    <x v="0"/>
    <x v="2"/>
    <x v="0"/>
    <x v="8"/>
    <x v="2"/>
    <x v="7"/>
    <x v="1"/>
  </r>
  <r>
    <s v="TX501230"/>
    <x v="2"/>
    <x v="1"/>
    <x v="688"/>
    <n v="309.60000000000002"/>
    <d v="2025-02-18T00:00:00"/>
    <d v="2025-02-21T00:00:00"/>
    <x v="2"/>
    <x v="1"/>
    <x v="4"/>
    <x v="0"/>
    <x v="8"/>
    <x v="2"/>
    <x v="7"/>
    <x v="2"/>
  </r>
  <r>
    <s v="TX501231"/>
    <x v="6"/>
    <x v="0"/>
    <x v="303"/>
    <n v="45"/>
    <d v="2025-02-18T00:00:00"/>
    <d v="2025-02-22T00:00:00"/>
    <x v="1"/>
    <x v="3"/>
    <x v="1"/>
    <x v="0"/>
    <x v="8"/>
    <x v="5"/>
    <x v="7"/>
    <x v="1"/>
  </r>
  <r>
    <s v="TX501232"/>
    <x v="0"/>
    <x v="3"/>
    <x v="678"/>
    <n v="107.10000000000001"/>
    <d v="2025-02-18T00:00:00"/>
    <d v="2025-02-19T00:00:00"/>
    <x v="1"/>
    <x v="0"/>
    <x v="2"/>
    <x v="0"/>
    <x v="8"/>
    <x v="3"/>
    <x v="7"/>
    <x v="1"/>
  </r>
  <r>
    <s v="TX501233"/>
    <x v="2"/>
    <x v="5"/>
    <x v="689"/>
    <n v="974.59999999999991"/>
    <d v="2025-02-18T00:00:00"/>
    <d v="2025-02-21T00:00:00"/>
    <x v="2"/>
    <x v="0"/>
    <x v="4"/>
    <x v="0"/>
    <x v="17"/>
    <x v="2"/>
    <x v="7"/>
    <x v="2"/>
  </r>
  <r>
    <s v="TX501234"/>
    <x v="9"/>
    <x v="1"/>
    <x v="235"/>
    <n v="99.4"/>
    <d v="2025-02-18T00:00:00"/>
    <d v="2025-02-20T00:00:00"/>
    <x v="3"/>
    <x v="4"/>
    <x v="0"/>
    <x v="0"/>
    <x v="10"/>
    <x v="1"/>
    <x v="7"/>
    <x v="3"/>
  </r>
  <r>
    <s v="TX501235"/>
    <x v="10"/>
    <x v="0"/>
    <x v="690"/>
    <n v="29"/>
    <d v="2025-02-18T00:00:00"/>
    <d v="2025-02-19T00:00:00"/>
    <x v="1"/>
    <x v="0"/>
    <x v="0"/>
    <x v="0"/>
    <x v="11"/>
    <x v="3"/>
    <x v="7"/>
    <x v="1"/>
  </r>
  <r>
    <s v="TX501236"/>
    <x v="1"/>
    <x v="0"/>
    <x v="552"/>
    <n v="60.7"/>
    <d v="2025-02-18T00:00:00"/>
    <d v="2025-02-19T00:00:00"/>
    <x v="3"/>
    <x v="0"/>
    <x v="1"/>
    <x v="0"/>
    <x v="11"/>
    <x v="3"/>
    <x v="7"/>
    <x v="3"/>
  </r>
  <r>
    <s v="TX501237"/>
    <x v="17"/>
    <x v="12"/>
    <x v="691"/>
    <n v="349.6"/>
    <d v="2025-02-18T00:00:00"/>
    <d v="2025-02-20T00:00:00"/>
    <x v="0"/>
    <x v="0"/>
    <x v="0"/>
    <x v="0"/>
    <x v="11"/>
    <x v="1"/>
    <x v="7"/>
    <x v="0"/>
  </r>
  <r>
    <s v="TX501238"/>
    <x v="4"/>
    <x v="3"/>
    <x v="239"/>
    <n v="311.5"/>
    <d v="2025-02-18T00:00:00"/>
    <d v="2025-02-22T00:00:00"/>
    <x v="2"/>
    <x v="2"/>
    <x v="2"/>
    <x v="0"/>
    <x v="19"/>
    <x v="5"/>
    <x v="7"/>
    <x v="2"/>
  </r>
  <r>
    <s v="TX501239"/>
    <x v="2"/>
    <x v="0"/>
    <x v="692"/>
    <n v="141"/>
    <d v="2025-02-18T00:00:00"/>
    <d v="2025-02-19T00:00:00"/>
    <x v="1"/>
    <x v="4"/>
    <x v="2"/>
    <x v="0"/>
    <x v="19"/>
    <x v="3"/>
    <x v="7"/>
    <x v="1"/>
  </r>
  <r>
    <s v="TX501240"/>
    <x v="0"/>
    <x v="2"/>
    <x v="569"/>
    <n v="50.099999999999994"/>
    <d v="2025-02-18T00:00:00"/>
    <d v="2025-02-26T00:00:00"/>
    <x v="2"/>
    <x v="0"/>
    <x v="0"/>
    <x v="0"/>
    <x v="20"/>
    <x v="9"/>
    <x v="7"/>
    <x v="2"/>
  </r>
  <r>
    <s v="TX501241"/>
    <x v="1"/>
    <x v="1"/>
    <x v="693"/>
    <n v="155"/>
    <d v="2025-02-18T00:00:00"/>
    <d v="2025-02-19T00:00:00"/>
    <x v="0"/>
    <x v="2"/>
    <x v="2"/>
    <x v="0"/>
    <x v="13"/>
    <x v="3"/>
    <x v="7"/>
    <x v="0"/>
  </r>
  <r>
    <s v="TX501242"/>
    <x v="2"/>
    <x v="1"/>
    <x v="694"/>
    <n v="326"/>
    <d v="2025-02-18T00:00:00"/>
    <d v="2025-02-24T00:00:00"/>
    <x v="2"/>
    <x v="4"/>
    <x v="0"/>
    <x v="0"/>
    <x v="21"/>
    <x v="4"/>
    <x v="7"/>
    <x v="2"/>
  </r>
  <r>
    <s v="TX501243"/>
    <x v="4"/>
    <x v="11"/>
    <x v="302"/>
    <n v="192.6"/>
    <d v="2025-02-18T00:00:00"/>
    <d v="2025-02-21T00:00:00"/>
    <x v="2"/>
    <x v="0"/>
    <x v="0"/>
    <x v="0"/>
    <x v="51"/>
    <x v="2"/>
    <x v="7"/>
    <x v="2"/>
  </r>
  <r>
    <s v="TX501244"/>
    <x v="10"/>
    <x v="5"/>
    <x v="452"/>
    <n v="341"/>
    <d v="2025-02-18T00:00:00"/>
    <d v="2025-02-20T00:00:00"/>
    <x v="2"/>
    <x v="3"/>
    <x v="2"/>
    <x v="0"/>
    <x v="1"/>
    <x v="1"/>
    <x v="7"/>
    <x v="2"/>
  </r>
  <r>
    <s v="TX501245"/>
    <x v="7"/>
    <x v="1"/>
    <x v="695"/>
    <n v="68.599999999999994"/>
    <d v="2025-02-18T00:00:00"/>
    <d v="2025-02-20T00:00:00"/>
    <x v="2"/>
    <x v="0"/>
    <x v="3"/>
    <x v="0"/>
    <x v="1"/>
    <x v="1"/>
    <x v="7"/>
    <x v="2"/>
  </r>
  <r>
    <s v="TX501246"/>
    <x v="17"/>
    <x v="9"/>
    <x v="297"/>
    <n v="241"/>
    <d v="2025-02-18T00:00:00"/>
    <d v="2025-02-19T00:00:00"/>
    <x v="1"/>
    <x v="1"/>
    <x v="1"/>
    <x v="0"/>
    <x v="2"/>
    <x v="3"/>
    <x v="7"/>
    <x v="1"/>
  </r>
  <r>
    <s v="TX501247"/>
    <x v="10"/>
    <x v="0"/>
    <x v="258"/>
    <n v="51.4"/>
    <d v="2025-02-18T00:00:00"/>
    <d v="2025-02-19T00:00:00"/>
    <x v="1"/>
    <x v="0"/>
    <x v="0"/>
    <x v="0"/>
    <x v="3"/>
    <x v="3"/>
    <x v="7"/>
    <x v="1"/>
  </r>
  <r>
    <s v="TX501248"/>
    <x v="2"/>
    <x v="9"/>
    <x v="696"/>
    <n v="586"/>
    <d v="2025-02-18T00:00:00"/>
    <d v="2025-02-21T00:00:00"/>
    <x v="2"/>
    <x v="4"/>
    <x v="4"/>
    <x v="0"/>
    <x v="3"/>
    <x v="2"/>
    <x v="7"/>
    <x v="2"/>
  </r>
  <r>
    <s v="TX501249"/>
    <x v="8"/>
    <x v="0"/>
    <x v="202"/>
    <n v="38.1"/>
    <d v="2025-02-18T00:00:00"/>
    <d v="2025-02-18T00:00:00"/>
    <x v="1"/>
    <x v="4"/>
    <x v="1"/>
    <x v="0"/>
    <x v="3"/>
    <x v="7"/>
    <x v="7"/>
    <x v="1"/>
  </r>
  <r>
    <s v="TX501250"/>
    <x v="0"/>
    <x v="1"/>
    <x v="369"/>
    <n v="88.2"/>
    <d v="2025-02-18T00:00:00"/>
    <d v="2025-02-20T00:00:00"/>
    <x v="2"/>
    <x v="2"/>
    <x v="0"/>
    <x v="0"/>
    <x v="3"/>
    <x v="1"/>
    <x v="7"/>
    <x v="2"/>
  </r>
  <r>
    <s v="TX501251"/>
    <x v="15"/>
    <x v="12"/>
    <x v="697"/>
    <n v="322"/>
    <d v="2025-02-18T00:00:00"/>
    <d v="2025-02-23T00:00:00"/>
    <x v="1"/>
    <x v="0"/>
    <x v="0"/>
    <x v="0"/>
    <x v="3"/>
    <x v="0"/>
    <x v="7"/>
    <x v="1"/>
  </r>
  <r>
    <s v="TX501252"/>
    <x v="18"/>
    <x v="12"/>
    <x v="570"/>
    <n v="134.4"/>
    <d v="2025-02-18T00:00:00"/>
    <d v="2025-02-23T00:00:00"/>
    <x v="0"/>
    <x v="0"/>
    <x v="2"/>
    <x v="0"/>
    <x v="3"/>
    <x v="0"/>
    <x v="7"/>
    <x v="0"/>
  </r>
  <r>
    <s v="TX501253"/>
    <x v="9"/>
    <x v="11"/>
    <x v="80"/>
    <n v="376.2"/>
    <d v="2025-02-18T00:00:00"/>
    <d v="2025-02-19T00:00:00"/>
    <x v="2"/>
    <x v="0"/>
    <x v="1"/>
    <x v="0"/>
    <x v="3"/>
    <x v="3"/>
    <x v="7"/>
    <x v="2"/>
  </r>
  <r>
    <s v="TX501254"/>
    <x v="1"/>
    <x v="1"/>
    <x v="698"/>
    <n v="212.4"/>
    <d v="2025-02-18T00:00:00"/>
    <d v="2025-02-18T00:00:00"/>
    <x v="2"/>
    <x v="4"/>
    <x v="2"/>
    <x v="0"/>
    <x v="3"/>
    <x v="7"/>
    <x v="7"/>
    <x v="2"/>
  </r>
  <r>
    <s v="TX501255"/>
    <x v="1"/>
    <x v="1"/>
    <x v="699"/>
    <n v="105.2"/>
    <d v="2025-02-18T00:00:00"/>
    <d v="2025-02-19T00:00:00"/>
    <x v="2"/>
    <x v="0"/>
    <x v="2"/>
    <x v="0"/>
    <x v="5"/>
    <x v="3"/>
    <x v="7"/>
    <x v="2"/>
  </r>
  <r>
    <s v="TX501256"/>
    <x v="11"/>
    <x v="3"/>
    <x v="419"/>
    <n v="479.5"/>
    <d v="2025-02-18T00:00:00"/>
    <d v="2025-02-19T00:00:00"/>
    <x v="2"/>
    <x v="1"/>
    <x v="0"/>
    <x v="0"/>
    <x v="5"/>
    <x v="3"/>
    <x v="7"/>
    <x v="2"/>
  </r>
  <r>
    <s v="TX501257"/>
    <x v="1"/>
    <x v="1"/>
    <x v="495"/>
    <n v="111.2"/>
    <d v="2025-02-18T00:00:00"/>
    <d v="2025-02-20T00:00:00"/>
    <x v="1"/>
    <x v="1"/>
    <x v="2"/>
    <x v="0"/>
    <x v="6"/>
    <x v="1"/>
    <x v="7"/>
    <x v="1"/>
  </r>
  <r>
    <s v="TX501258"/>
    <x v="2"/>
    <x v="2"/>
    <x v="700"/>
    <n v="404.70000000000005"/>
    <d v="2025-02-18T00:00:00"/>
    <d v="2025-02-19T00:00:00"/>
    <x v="1"/>
    <x v="1"/>
    <x v="1"/>
    <x v="0"/>
    <x v="6"/>
    <x v="3"/>
    <x v="7"/>
    <x v="1"/>
  </r>
  <r>
    <s v="TX501259"/>
    <x v="10"/>
    <x v="9"/>
    <x v="325"/>
    <n v="213"/>
    <d v="2025-02-18T00:00:00"/>
    <d v="2025-02-19T00:00:00"/>
    <x v="1"/>
    <x v="0"/>
    <x v="0"/>
    <x v="0"/>
    <x v="6"/>
    <x v="3"/>
    <x v="7"/>
    <x v="1"/>
  </r>
  <r>
    <s v="TX501260"/>
    <x v="7"/>
    <x v="9"/>
    <x v="701"/>
    <n v="303"/>
    <d v="2025-02-18T00:00:00"/>
    <d v="2025-02-20T00:00:00"/>
    <x v="1"/>
    <x v="4"/>
    <x v="0"/>
    <x v="0"/>
    <x v="6"/>
    <x v="1"/>
    <x v="7"/>
    <x v="1"/>
  </r>
  <r>
    <s v="TX501261"/>
    <x v="8"/>
    <x v="1"/>
    <x v="347"/>
    <n v="87"/>
    <d v="2025-02-18T00:00:00"/>
    <d v="2025-02-19T00:00:00"/>
    <x v="1"/>
    <x v="4"/>
    <x v="0"/>
    <x v="0"/>
    <x v="7"/>
    <x v="3"/>
    <x v="7"/>
    <x v="1"/>
  </r>
  <r>
    <s v="TX501262"/>
    <x v="2"/>
    <x v="1"/>
    <x v="702"/>
    <n v="374.2"/>
    <d v="2025-02-18T00:00:00"/>
    <d v="2025-02-19T00:00:00"/>
    <x v="1"/>
    <x v="1"/>
    <x v="2"/>
    <x v="0"/>
    <x v="8"/>
    <x v="3"/>
    <x v="7"/>
    <x v="1"/>
  </r>
  <r>
    <s v="TX501263"/>
    <x v="9"/>
    <x v="2"/>
    <x v="34"/>
    <n v="96"/>
    <d v="2025-02-18T00:00:00"/>
    <d v="2025-02-20T00:00:00"/>
    <x v="1"/>
    <x v="0"/>
    <x v="0"/>
    <x v="0"/>
    <x v="8"/>
    <x v="1"/>
    <x v="7"/>
    <x v="1"/>
  </r>
  <r>
    <s v="TX501264"/>
    <x v="9"/>
    <x v="1"/>
    <x v="703"/>
    <n v="221.6"/>
    <d v="2025-02-18T00:00:00"/>
    <d v="2025-02-18T00:00:00"/>
    <x v="1"/>
    <x v="0"/>
    <x v="2"/>
    <x v="0"/>
    <x v="8"/>
    <x v="7"/>
    <x v="7"/>
    <x v="1"/>
  </r>
  <r>
    <s v="TX501265"/>
    <x v="10"/>
    <x v="15"/>
    <x v="160"/>
    <n v="469.3"/>
    <d v="2025-02-18T00:00:00"/>
    <d v="2025-02-21T00:00:00"/>
    <x v="2"/>
    <x v="0"/>
    <x v="1"/>
    <x v="0"/>
    <x v="8"/>
    <x v="2"/>
    <x v="7"/>
    <x v="2"/>
  </r>
  <r>
    <s v="TX501266"/>
    <x v="0"/>
    <x v="0"/>
    <x v="661"/>
    <n v="24.1"/>
    <d v="2025-02-18T00:00:00"/>
    <d v="2025-02-20T00:00:00"/>
    <x v="2"/>
    <x v="4"/>
    <x v="2"/>
    <x v="0"/>
    <x v="8"/>
    <x v="1"/>
    <x v="7"/>
    <x v="2"/>
  </r>
  <r>
    <s v="TX501267"/>
    <x v="19"/>
    <x v="2"/>
    <x v="162"/>
    <n v="91.5"/>
    <d v="2025-02-18T00:00:00"/>
    <d v="2025-02-20T00:00:00"/>
    <x v="1"/>
    <x v="1"/>
    <x v="0"/>
    <x v="0"/>
    <x v="8"/>
    <x v="1"/>
    <x v="7"/>
    <x v="1"/>
  </r>
  <r>
    <s v="TX501268"/>
    <x v="18"/>
    <x v="13"/>
    <x v="704"/>
    <n v="409.79999999999995"/>
    <d v="2025-02-18T00:00:00"/>
    <d v="2025-02-21T00:00:00"/>
    <x v="1"/>
    <x v="0"/>
    <x v="0"/>
    <x v="0"/>
    <x v="8"/>
    <x v="2"/>
    <x v="7"/>
    <x v="1"/>
  </r>
  <r>
    <s v="TX501269"/>
    <x v="7"/>
    <x v="2"/>
    <x v="705"/>
    <n v="129.89999999999998"/>
    <d v="2025-02-18T00:00:00"/>
    <d v="2025-02-22T00:00:00"/>
    <x v="2"/>
    <x v="0"/>
    <x v="0"/>
    <x v="0"/>
    <x v="17"/>
    <x v="5"/>
    <x v="7"/>
    <x v="2"/>
  </r>
  <r>
    <s v="TX501270"/>
    <x v="3"/>
    <x v="0"/>
    <x v="435"/>
    <n v="101.7"/>
    <d v="2025-02-18T00:00:00"/>
    <d v="2025-02-21T00:00:00"/>
    <x v="2"/>
    <x v="0"/>
    <x v="1"/>
    <x v="0"/>
    <x v="17"/>
    <x v="2"/>
    <x v="7"/>
    <x v="2"/>
  </r>
  <r>
    <s v="TX501271"/>
    <x v="11"/>
    <x v="1"/>
    <x v="706"/>
    <n v="108.4"/>
    <d v="2025-02-18T00:00:00"/>
    <d v="2025-02-19T00:00:00"/>
    <x v="2"/>
    <x v="0"/>
    <x v="1"/>
    <x v="0"/>
    <x v="17"/>
    <x v="3"/>
    <x v="7"/>
    <x v="2"/>
  </r>
  <r>
    <s v="TX501272"/>
    <x v="16"/>
    <x v="1"/>
    <x v="707"/>
    <n v="102"/>
    <d v="2025-02-18T00:00:00"/>
    <d v="2025-02-18T00:00:00"/>
    <x v="1"/>
    <x v="1"/>
    <x v="0"/>
    <x v="0"/>
    <x v="26"/>
    <x v="7"/>
    <x v="7"/>
    <x v="1"/>
  </r>
  <r>
    <s v="TX501273"/>
    <x v="4"/>
    <x v="1"/>
    <x v="59"/>
    <n v="46.2"/>
    <d v="2025-02-18T00:00:00"/>
    <d v="2025-02-21T00:00:00"/>
    <x v="1"/>
    <x v="1"/>
    <x v="0"/>
    <x v="0"/>
    <x v="10"/>
    <x v="2"/>
    <x v="7"/>
    <x v="1"/>
  </r>
  <r>
    <s v="TX501274"/>
    <x v="12"/>
    <x v="13"/>
    <x v="110"/>
    <n v="360.6"/>
    <d v="2025-02-18T00:00:00"/>
    <d v="2025-02-18T00:00:00"/>
    <x v="2"/>
    <x v="3"/>
    <x v="0"/>
    <x v="0"/>
    <x v="11"/>
    <x v="7"/>
    <x v="7"/>
    <x v="2"/>
  </r>
  <r>
    <s v="TX501275"/>
    <x v="2"/>
    <x v="3"/>
    <x v="241"/>
    <n v="612.5"/>
    <d v="2025-02-18T00:00:00"/>
    <d v="2025-02-20T00:00:00"/>
    <x v="2"/>
    <x v="0"/>
    <x v="1"/>
    <x v="0"/>
    <x v="11"/>
    <x v="1"/>
    <x v="7"/>
    <x v="2"/>
  </r>
  <r>
    <s v="TX501276"/>
    <x v="1"/>
    <x v="2"/>
    <x v="707"/>
    <n v="153"/>
    <d v="2025-02-18T00:00:00"/>
    <d v="2025-02-19T00:00:00"/>
    <x v="2"/>
    <x v="1"/>
    <x v="0"/>
    <x v="0"/>
    <x v="11"/>
    <x v="3"/>
    <x v="7"/>
    <x v="2"/>
  </r>
  <r>
    <s v="TX501277"/>
    <x v="8"/>
    <x v="12"/>
    <x v="359"/>
    <n v="76.8"/>
    <d v="2025-02-18T00:00:00"/>
    <d v="2025-02-20T00:00:00"/>
    <x v="2"/>
    <x v="0"/>
    <x v="0"/>
    <x v="0"/>
    <x v="11"/>
    <x v="1"/>
    <x v="7"/>
    <x v="2"/>
  </r>
  <r>
    <s v="TX501278"/>
    <x v="5"/>
    <x v="8"/>
    <x v="38"/>
    <n v="212"/>
    <d v="2025-02-18T00:00:00"/>
    <d v="2025-02-19T00:00:00"/>
    <x v="0"/>
    <x v="3"/>
    <x v="2"/>
    <x v="0"/>
    <x v="11"/>
    <x v="3"/>
    <x v="7"/>
    <x v="0"/>
  </r>
  <r>
    <s v="TX501279"/>
    <x v="2"/>
    <x v="1"/>
    <x v="708"/>
    <n v="440.6"/>
    <d v="2025-02-18T00:00:00"/>
    <d v="2025-02-19T00:00:00"/>
    <x v="2"/>
    <x v="1"/>
    <x v="4"/>
    <x v="0"/>
    <x v="53"/>
    <x v="3"/>
    <x v="7"/>
    <x v="2"/>
  </r>
  <r>
    <s v="TX501280"/>
    <x v="8"/>
    <x v="2"/>
    <x v="108"/>
    <n v="137.10000000000002"/>
    <d v="2025-02-18T00:00:00"/>
    <d v="2025-02-19T00:00:00"/>
    <x v="2"/>
    <x v="4"/>
    <x v="0"/>
    <x v="0"/>
    <x v="30"/>
    <x v="3"/>
    <x v="7"/>
    <x v="2"/>
  </r>
  <r>
    <s v="TX501281"/>
    <x v="5"/>
    <x v="9"/>
    <x v="344"/>
    <n v="235.5"/>
    <d v="2025-02-18T00:00:00"/>
    <d v="2025-02-22T00:00:00"/>
    <x v="2"/>
    <x v="3"/>
    <x v="0"/>
    <x v="0"/>
    <x v="13"/>
    <x v="5"/>
    <x v="7"/>
    <x v="2"/>
  </r>
  <r>
    <s v="TX501282"/>
    <x v="1"/>
    <x v="9"/>
    <x v="521"/>
    <n v="408.5"/>
    <d v="2025-02-18T00:00:00"/>
    <d v="2025-02-19T00:00:00"/>
    <x v="2"/>
    <x v="0"/>
    <x v="2"/>
    <x v="0"/>
    <x v="21"/>
    <x v="3"/>
    <x v="7"/>
    <x v="2"/>
  </r>
  <r>
    <s v="TX501283"/>
    <x v="6"/>
    <x v="7"/>
    <x v="709"/>
    <n v="978"/>
    <d v="2025-02-18T00:00:00"/>
    <d v="2025-02-18T00:00:00"/>
    <x v="1"/>
    <x v="1"/>
    <x v="1"/>
    <x v="0"/>
    <x v="21"/>
    <x v="7"/>
    <x v="7"/>
    <x v="1"/>
  </r>
  <r>
    <s v="TX501284"/>
    <x v="6"/>
    <x v="2"/>
    <x v="394"/>
    <n v="127.19999999999999"/>
    <d v="2025-02-18T00:00:00"/>
    <d v="2025-02-19T00:00:00"/>
    <x v="2"/>
    <x v="0"/>
    <x v="2"/>
    <x v="0"/>
    <x v="54"/>
    <x v="3"/>
    <x v="7"/>
    <x v="2"/>
  </r>
  <r>
    <s v="TX501285"/>
    <x v="2"/>
    <x v="7"/>
    <x v="417"/>
    <n v="745"/>
    <d v="2025-02-18T00:00:00"/>
    <d v="2025-02-19T00:00:00"/>
    <x v="1"/>
    <x v="2"/>
    <x v="1"/>
    <x v="0"/>
    <x v="1"/>
    <x v="3"/>
    <x v="7"/>
    <x v="1"/>
  </r>
  <r>
    <s v="TX501286"/>
    <x v="17"/>
    <x v="13"/>
    <x v="68"/>
    <n v="284.39999999999998"/>
    <d v="2025-02-18T00:00:00"/>
    <d v="2025-02-19T00:00:00"/>
    <x v="1"/>
    <x v="1"/>
    <x v="0"/>
    <x v="0"/>
    <x v="1"/>
    <x v="3"/>
    <x v="7"/>
    <x v="1"/>
  </r>
  <r>
    <s v="TX501287"/>
    <x v="14"/>
    <x v="2"/>
    <x v="161"/>
    <n v="51.900000000000006"/>
    <d v="2025-02-19T00:00:00"/>
    <d v="2025-02-22T00:00:00"/>
    <x v="1"/>
    <x v="2"/>
    <x v="2"/>
    <x v="0"/>
    <x v="1"/>
    <x v="2"/>
    <x v="7"/>
    <x v="1"/>
  </r>
  <r>
    <s v="TX501288"/>
    <x v="12"/>
    <x v="12"/>
    <x v="710"/>
    <n v="311.60000000000002"/>
    <d v="2025-02-19T00:00:00"/>
    <d v="2025-02-20T00:00:00"/>
    <x v="1"/>
    <x v="1"/>
    <x v="0"/>
    <x v="0"/>
    <x v="2"/>
    <x v="3"/>
    <x v="7"/>
    <x v="1"/>
  </r>
  <r>
    <s v="TX501289"/>
    <x v="8"/>
    <x v="0"/>
    <x v="581"/>
    <n v="29.1"/>
    <d v="2025-02-19T00:00:00"/>
    <d v="2025-02-22T00:00:00"/>
    <x v="1"/>
    <x v="0"/>
    <x v="2"/>
    <x v="0"/>
    <x v="50"/>
    <x v="2"/>
    <x v="7"/>
    <x v="1"/>
  </r>
  <r>
    <s v="TX501290"/>
    <x v="8"/>
    <x v="0"/>
    <x v="11"/>
    <n v="49"/>
    <d v="2025-02-19T00:00:00"/>
    <d v="2025-02-20T00:00:00"/>
    <x v="1"/>
    <x v="1"/>
    <x v="0"/>
    <x v="0"/>
    <x v="3"/>
    <x v="3"/>
    <x v="7"/>
    <x v="1"/>
  </r>
  <r>
    <s v="TX501291"/>
    <x v="8"/>
    <x v="13"/>
    <x v="438"/>
    <n v="126.60000000000001"/>
    <d v="2025-02-19T00:00:00"/>
    <d v="2025-02-26T00:00:00"/>
    <x v="1"/>
    <x v="0"/>
    <x v="2"/>
    <x v="0"/>
    <x v="3"/>
    <x v="6"/>
    <x v="7"/>
    <x v="1"/>
  </r>
  <r>
    <s v="TX501292"/>
    <x v="4"/>
    <x v="10"/>
    <x v="711"/>
    <n v="701.1"/>
    <d v="2025-02-19T00:00:00"/>
    <d v="2025-02-19T00:00:00"/>
    <x v="2"/>
    <x v="0"/>
    <x v="0"/>
    <x v="0"/>
    <x v="3"/>
    <x v="7"/>
    <x v="7"/>
    <x v="2"/>
  </r>
  <r>
    <s v="TX501293"/>
    <x v="1"/>
    <x v="7"/>
    <x v="109"/>
    <n v="926"/>
    <d v="2025-02-19T00:00:00"/>
    <d v="2025-02-24T00:00:00"/>
    <x v="1"/>
    <x v="4"/>
    <x v="2"/>
    <x v="0"/>
    <x v="3"/>
    <x v="0"/>
    <x v="7"/>
    <x v="1"/>
  </r>
  <r>
    <s v="TX501294"/>
    <x v="10"/>
    <x v="1"/>
    <x v="545"/>
    <n v="76"/>
    <d v="2025-02-19T00:00:00"/>
    <d v="2025-02-20T00:00:00"/>
    <x v="1"/>
    <x v="1"/>
    <x v="1"/>
    <x v="0"/>
    <x v="3"/>
    <x v="3"/>
    <x v="7"/>
    <x v="1"/>
  </r>
  <r>
    <s v="TX501295"/>
    <x v="5"/>
    <x v="2"/>
    <x v="76"/>
    <n v="164.39999999999998"/>
    <d v="2025-02-19T00:00:00"/>
    <d v="2025-02-23T00:00:00"/>
    <x v="0"/>
    <x v="0"/>
    <x v="1"/>
    <x v="0"/>
    <x v="3"/>
    <x v="5"/>
    <x v="7"/>
    <x v="0"/>
  </r>
  <r>
    <s v="TX501296"/>
    <x v="10"/>
    <x v="4"/>
    <x v="382"/>
    <n v="681.59999999999991"/>
    <d v="2025-02-19T00:00:00"/>
    <d v="2025-02-21T00:00:00"/>
    <x v="1"/>
    <x v="1"/>
    <x v="0"/>
    <x v="0"/>
    <x v="3"/>
    <x v="1"/>
    <x v="7"/>
    <x v="1"/>
  </r>
  <r>
    <s v="TX501297"/>
    <x v="11"/>
    <x v="40"/>
    <x v="550"/>
    <n v="1557.6000000000001"/>
    <d v="2025-02-19T00:00:00"/>
    <d v="2025-02-22T00:00:00"/>
    <x v="2"/>
    <x v="1"/>
    <x v="0"/>
    <x v="0"/>
    <x v="3"/>
    <x v="2"/>
    <x v="7"/>
    <x v="2"/>
  </r>
  <r>
    <s v="TX501298"/>
    <x v="7"/>
    <x v="13"/>
    <x v="226"/>
    <n v="270.60000000000002"/>
    <d v="2025-02-19T00:00:00"/>
    <d v="2025-02-20T00:00:00"/>
    <x v="2"/>
    <x v="2"/>
    <x v="0"/>
    <x v="0"/>
    <x v="43"/>
    <x v="3"/>
    <x v="7"/>
    <x v="2"/>
  </r>
  <r>
    <s v="TX501299"/>
    <x v="4"/>
    <x v="4"/>
    <x v="19"/>
    <n v="302.39999999999998"/>
    <d v="2025-02-19T00:00:00"/>
    <d v="2025-02-24T00:00:00"/>
    <x v="2"/>
    <x v="2"/>
    <x v="0"/>
    <x v="0"/>
    <x v="16"/>
    <x v="0"/>
    <x v="7"/>
    <x v="2"/>
  </r>
  <r>
    <s v="TX501300"/>
    <x v="8"/>
    <x v="0"/>
    <x v="595"/>
    <n v="22"/>
    <d v="2025-02-19T00:00:00"/>
    <d v="2025-02-20T00:00:00"/>
    <x v="2"/>
    <x v="0"/>
    <x v="0"/>
    <x v="0"/>
    <x v="5"/>
    <x v="3"/>
    <x v="7"/>
    <x v="2"/>
  </r>
  <r>
    <s v="TX501301"/>
    <x v="6"/>
    <x v="1"/>
    <x v="567"/>
    <n v="84.4"/>
    <d v="2025-02-19T00:00:00"/>
    <d v="2025-02-20T00:00:00"/>
    <x v="2"/>
    <x v="1"/>
    <x v="1"/>
    <x v="0"/>
    <x v="23"/>
    <x v="3"/>
    <x v="7"/>
    <x v="2"/>
  </r>
  <r>
    <s v="TX501302"/>
    <x v="13"/>
    <x v="2"/>
    <x v="580"/>
    <n v="61.5"/>
    <d v="2025-02-19T00:00:00"/>
    <d v="2025-02-20T00:00:00"/>
    <x v="1"/>
    <x v="0"/>
    <x v="1"/>
    <x v="0"/>
    <x v="6"/>
    <x v="3"/>
    <x v="7"/>
    <x v="1"/>
  </r>
  <r>
    <s v="TX501303"/>
    <x v="2"/>
    <x v="0"/>
    <x v="712"/>
    <n v="190.4"/>
    <d v="2025-02-19T00:00:00"/>
    <d v="2025-02-24T00:00:00"/>
    <x v="1"/>
    <x v="1"/>
    <x v="4"/>
    <x v="0"/>
    <x v="6"/>
    <x v="0"/>
    <x v="7"/>
    <x v="1"/>
  </r>
  <r>
    <s v="TX501304"/>
    <x v="2"/>
    <x v="0"/>
    <x v="713"/>
    <n v="121.9"/>
    <d v="2025-02-19T00:00:00"/>
    <d v="2025-02-21T00:00:00"/>
    <x v="2"/>
    <x v="1"/>
    <x v="2"/>
    <x v="0"/>
    <x v="6"/>
    <x v="1"/>
    <x v="7"/>
    <x v="2"/>
  </r>
  <r>
    <s v="TX501305"/>
    <x v="2"/>
    <x v="13"/>
    <x v="714"/>
    <n v="895.19999999999993"/>
    <d v="2025-02-19T00:00:00"/>
    <d v="2025-02-20T00:00:00"/>
    <x v="2"/>
    <x v="2"/>
    <x v="2"/>
    <x v="0"/>
    <x v="7"/>
    <x v="3"/>
    <x v="7"/>
    <x v="2"/>
  </r>
  <r>
    <s v="TX501306"/>
    <x v="2"/>
    <x v="0"/>
    <x v="715"/>
    <n v="54.1"/>
    <d v="2025-02-19T00:00:00"/>
    <d v="2025-02-28T00:00:00"/>
    <x v="2"/>
    <x v="2"/>
    <x v="2"/>
    <x v="0"/>
    <x v="7"/>
    <x v="8"/>
    <x v="7"/>
    <x v="2"/>
  </r>
  <r>
    <s v="TX501307"/>
    <x v="5"/>
    <x v="1"/>
    <x v="336"/>
    <n v="54.8"/>
    <d v="2025-02-19T00:00:00"/>
    <d v="2025-02-21T00:00:00"/>
    <x v="1"/>
    <x v="1"/>
    <x v="0"/>
    <x v="0"/>
    <x v="8"/>
    <x v="1"/>
    <x v="7"/>
    <x v="1"/>
  </r>
  <r>
    <s v="TX501308"/>
    <x v="0"/>
    <x v="15"/>
    <x v="248"/>
    <n v="395.2"/>
    <d v="2025-02-19T00:00:00"/>
    <d v="2025-02-20T00:00:00"/>
    <x v="2"/>
    <x v="0"/>
    <x v="2"/>
    <x v="0"/>
    <x v="8"/>
    <x v="3"/>
    <x v="7"/>
    <x v="2"/>
  </r>
  <r>
    <s v="TX501309"/>
    <x v="12"/>
    <x v="2"/>
    <x v="193"/>
    <n v="138.60000000000002"/>
    <d v="2025-02-19T00:00:00"/>
    <d v="2025-02-21T00:00:00"/>
    <x v="1"/>
    <x v="2"/>
    <x v="1"/>
    <x v="0"/>
    <x v="17"/>
    <x v="1"/>
    <x v="7"/>
    <x v="1"/>
  </r>
  <r>
    <s v="TX501310"/>
    <x v="7"/>
    <x v="8"/>
    <x v="716"/>
    <n v="628.79999999999995"/>
    <d v="2025-02-19T00:00:00"/>
    <d v="2025-02-23T00:00:00"/>
    <x v="1"/>
    <x v="3"/>
    <x v="0"/>
    <x v="0"/>
    <x v="17"/>
    <x v="5"/>
    <x v="7"/>
    <x v="1"/>
  </r>
  <r>
    <s v="TX501311"/>
    <x v="17"/>
    <x v="7"/>
    <x v="122"/>
    <n v="259"/>
    <d v="2025-02-19T00:00:00"/>
    <d v="2025-02-25T00:00:00"/>
    <x v="1"/>
    <x v="4"/>
    <x v="0"/>
    <x v="0"/>
    <x v="9"/>
    <x v="4"/>
    <x v="7"/>
    <x v="1"/>
  </r>
  <r>
    <s v="TX501312"/>
    <x v="6"/>
    <x v="0"/>
    <x v="717"/>
    <n v="134.80000000000001"/>
    <d v="2025-02-19T00:00:00"/>
    <d v="2025-02-21T00:00:00"/>
    <x v="1"/>
    <x v="2"/>
    <x v="2"/>
    <x v="0"/>
    <x v="9"/>
    <x v="1"/>
    <x v="7"/>
    <x v="1"/>
  </r>
  <r>
    <s v="TX501313"/>
    <x v="15"/>
    <x v="9"/>
    <x v="39"/>
    <n v="215.5"/>
    <d v="2025-02-19T00:00:00"/>
    <d v="2025-02-21T00:00:00"/>
    <x v="2"/>
    <x v="0"/>
    <x v="0"/>
    <x v="0"/>
    <x v="11"/>
    <x v="1"/>
    <x v="7"/>
    <x v="2"/>
  </r>
  <r>
    <s v="TX501314"/>
    <x v="2"/>
    <x v="1"/>
    <x v="718"/>
    <n v="431.2"/>
    <d v="2025-02-19T00:00:00"/>
    <d v="2025-02-20T00:00:00"/>
    <x v="2"/>
    <x v="2"/>
    <x v="0"/>
    <x v="0"/>
    <x v="18"/>
    <x v="3"/>
    <x v="7"/>
    <x v="2"/>
  </r>
  <r>
    <s v="TX501315"/>
    <x v="6"/>
    <x v="1"/>
    <x v="41"/>
    <n v="161.4"/>
    <d v="2025-02-19T00:00:00"/>
    <d v="2025-02-22T00:00:00"/>
    <x v="2"/>
    <x v="3"/>
    <x v="0"/>
    <x v="0"/>
    <x v="18"/>
    <x v="2"/>
    <x v="7"/>
    <x v="2"/>
  </r>
  <r>
    <s v="TX501316"/>
    <x v="10"/>
    <x v="3"/>
    <x v="468"/>
    <n v="144.20000000000002"/>
    <d v="2025-02-19T00:00:00"/>
    <d v="2025-02-24T00:00:00"/>
    <x v="0"/>
    <x v="2"/>
    <x v="1"/>
    <x v="0"/>
    <x v="19"/>
    <x v="0"/>
    <x v="7"/>
    <x v="0"/>
  </r>
  <r>
    <s v="TX501317"/>
    <x v="12"/>
    <x v="2"/>
    <x v="719"/>
    <n v="111.30000000000001"/>
    <d v="2025-02-19T00:00:00"/>
    <d v="2025-02-20T00:00:00"/>
    <x v="2"/>
    <x v="0"/>
    <x v="0"/>
    <x v="0"/>
    <x v="52"/>
    <x v="3"/>
    <x v="7"/>
    <x v="2"/>
  </r>
  <r>
    <s v="TX501318"/>
    <x v="12"/>
    <x v="0"/>
    <x v="720"/>
    <n v="104.8"/>
    <d v="2025-02-20T00:00:00"/>
    <d v="2025-02-22T00:00:00"/>
    <x v="2"/>
    <x v="0"/>
    <x v="0"/>
    <x v="0"/>
    <x v="13"/>
    <x v="1"/>
    <x v="7"/>
    <x v="2"/>
  </r>
  <r>
    <s v="TX501319"/>
    <x v="8"/>
    <x v="1"/>
    <x v="721"/>
    <n v="118"/>
    <d v="2025-02-20T00:00:00"/>
    <d v="2025-02-21T00:00:00"/>
    <x v="1"/>
    <x v="1"/>
    <x v="0"/>
    <x v="0"/>
    <x v="21"/>
    <x v="3"/>
    <x v="7"/>
    <x v="1"/>
  </r>
  <r>
    <s v="TX501320"/>
    <x v="8"/>
    <x v="1"/>
    <x v="240"/>
    <n v="64.599999999999994"/>
    <d v="2025-02-20T00:00:00"/>
    <d v="2025-02-21T00:00:00"/>
    <x v="1"/>
    <x v="0"/>
    <x v="2"/>
    <x v="0"/>
    <x v="21"/>
    <x v="3"/>
    <x v="7"/>
    <x v="1"/>
  </r>
  <r>
    <s v="TX501321"/>
    <x v="8"/>
    <x v="12"/>
    <x v="538"/>
    <n v="115.6"/>
    <d v="2025-02-20T00:00:00"/>
    <d v="2025-02-27T00:00:00"/>
    <x v="1"/>
    <x v="0"/>
    <x v="0"/>
    <x v="0"/>
    <x v="1"/>
    <x v="6"/>
    <x v="7"/>
    <x v="1"/>
  </r>
  <r>
    <s v="TX501322"/>
    <x v="0"/>
    <x v="1"/>
    <x v="686"/>
    <n v="59.2"/>
    <d v="2025-02-20T00:00:00"/>
    <d v="2025-02-22T00:00:00"/>
    <x v="1"/>
    <x v="0"/>
    <x v="0"/>
    <x v="0"/>
    <x v="1"/>
    <x v="1"/>
    <x v="7"/>
    <x v="1"/>
  </r>
  <r>
    <s v="TX501323"/>
    <x v="0"/>
    <x v="9"/>
    <x v="647"/>
    <n v="147"/>
    <d v="2025-02-20T00:00:00"/>
    <d v="2025-02-23T00:00:00"/>
    <x v="2"/>
    <x v="0"/>
    <x v="0"/>
    <x v="0"/>
    <x v="1"/>
    <x v="2"/>
    <x v="7"/>
    <x v="2"/>
  </r>
  <r>
    <s v="TX501324"/>
    <x v="1"/>
    <x v="1"/>
    <x v="722"/>
    <n v="81.2"/>
    <d v="2025-02-20T00:00:00"/>
    <d v="2025-02-21T00:00:00"/>
    <x v="1"/>
    <x v="0"/>
    <x v="4"/>
    <x v="0"/>
    <x v="2"/>
    <x v="3"/>
    <x v="7"/>
    <x v="1"/>
  </r>
  <r>
    <s v="TX501325"/>
    <x v="0"/>
    <x v="2"/>
    <x v="504"/>
    <n v="97.5"/>
    <d v="2025-02-20T00:00:00"/>
    <d v="2025-02-21T00:00:00"/>
    <x v="1"/>
    <x v="3"/>
    <x v="2"/>
    <x v="0"/>
    <x v="22"/>
    <x v="3"/>
    <x v="7"/>
    <x v="1"/>
  </r>
  <r>
    <s v="TX501326"/>
    <x v="15"/>
    <x v="0"/>
    <x v="457"/>
    <n v="26.2"/>
    <d v="2025-02-20T00:00:00"/>
    <d v="2025-02-22T00:00:00"/>
    <x v="1"/>
    <x v="2"/>
    <x v="0"/>
    <x v="0"/>
    <x v="55"/>
    <x v="1"/>
    <x v="7"/>
    <x v="1"/>
  </r>
  <r>
    <s v="TX501327"/>
    <x v="10"/>
    <x v="17"/>
    <x v="548"/>
    <n v="1320"/>
    <d v="2025-02-20T00:00:00"/>
    <d v="2025-02-26T00:00:00"/>
    <x v="1"/>
    <x v="4"/>
    <x v="0"/>
    <x v="0"/>
    <x v="3"/>
    <x v="4"/>
    <x v="7"/>
    <x v="1"/>
  </r>
  <r>
    <s v="TX501328"/>
    <x v="7"/>
    <x v="12"/>
    <x v="404"/>
    <n v="262.39999999999998"/>
    <d v="2025-02-20T00:00:00"/>
    <d v="2025-02-21T00:00:00"/>
    <x v="2"/>
    <x v="1"/>
    <x v="1"/>
    <x v="0"/>
    <x v="3"/>
    <x v="3"/>
    <x v="7"/>
    <x v="2"/>
  </r>
  <r>
    <s v="TX501329"/>
    <x v="5"/>
    <x v="4"/>
    <x v="101"/>
    <n v="391.20000000000005"/>
    <d v="2025-02-20T00:00:00"/>
    <d v="2025-02-21T00:00:00"/>
    <x v="1"/>
    <x v="4"/>
    <x v="0"/>
    <x v="0"/>
    <x v="3"/>
    <x v="3"/>
    <x v="7"/>
    <x v="1"/>
  </r>
  <r>
    <s v="TX501330"/>
    <x v="16"/>
    <x v="1"/>
    <x v="723"/>
    <n v="177.4"/>
    <d v="2025-02-20T00:00:00"/>
    <d v="2025-02-21T00:00:00"/>
    <x v="0"/>
    <x v="3"/>
    <x v="2"/>
    <x v="0"/>
    <x v="3"/>
    <x v="3"/>
    <x v="7"/>
    <x v="0"/>
  </r>
  <r>
    <s v="TX501331"/>
    <x v="4"/>
    <x v="1"/>
    <x v="210"/>
    <n v="42.6"/>
    <d v="2025-02-20T00:00:00"/>
    <d v="2025-02-21T00:00:00"/>
    <x v="1"/>
    <x v="0"/>
    <x v="0"/>
    <x v="0"/>
    <x v="3"/>
    <x v="3"/>
    <x v="7"/>
    <x v="1"/>
  </r>
  <r>
    <s v="TX501332"/>
    <x v="4"/>
    <x v="13"/>
    <x v="79"/>
    <n v="303.60000000000002"/>
    <d v="2025-02-20T00:00:00"/>
    <d v="2025-02-24T00:00:00"/>
    <x v="2"/>
    <x v="2"/>
    <x v="0"/>
    <x v="0"/>
    <x v="3"/>
    <x v="5"/>
    <x v="7"/>
    <x v="2"/>
  </r>
  <r>
    <s v="TX501333"/>
    <x v="9"/>
    <x v="38"/>
    <x v="724"/>
    <n v="1824.9"/>
    <d v="2025-02-20T00:00:00"/>
    <d v="2025-02-23T00:00:00"/>
    <x v="2"/>
    <x v="0"/>
    <x v="1"/>
    <x v="0"/>
    <x v="3"/>
    <x v="2"/>
    <x v="7"/>
    <x v="2"/>
  </r>
  <r>
    <s v="TX501334"/>
    <x v="11"/>
    <x v="2"/>
    <x v="216"/>
    <n v="95.4"/>
    <d v="2025-02-20T00:00:00"/>
    <d v="2025-02-22T00:00:00"/>
    <x v="1"/>
    <x v="0"/>
    <x v="2"/>
    <x v="0"/>
    <x v="3"/>
    <x v="1"/>
    <x v="7"/>
    <x v="1"/>
  </r>
  <r>
    <s v="TX501335"/>
    <x v="8"/>
    <x v="0"/>
    <x v="129"/>
    <n v="19"/>
    <d v="2025-02-20T00:00:00"/>
    <d v="2025-02-21T00:00:00"/>
    <x v="2"/>
    <x v="0"/>
    <x v="2"/>
    <x v="0"/>
    <x v="3"/>
    <x v="3"/>
    <x v="7"/>
    <x v="2"/>
  </r>
  <r>
    <s v="TX501336"/>
    <x v="5"/>
    <x v="0"/>
    <x v="42"/>
    <n v="54.5"/>
    <d v="2025-02-20T00:00:00"/>
    <d v="2025-02-22T00:00:00"/>
    <x v="1"/>
    <x v="0"/>
    <x v="0"/>
    <x v="0"/>
    <x v="3"/>
    <x v="1"/>
    <x v="7"/>
    <x v="1"/>
  </r>
  <r>
    <s v="TX501337"/>
    <x v="9"/>
    <x v="9"/>
    <x v="725"/>
    <n v="344.5"/>
    <d v="2025-02-20T00:00:00"/>
    <d v="2025-02-22T00:00:00"/>
    <x v="1"/>
    <x v="4"/>
    <x v="1"/>
    <x v="0"/>
    <x v="3"/>
    <x v="1"/>
    <x v="7"/>
    <x v="1"/>
  </r>
  <r>
    <s v="TX501338"/>
    <x v="6"/>
    <x v="2"/>
    <x v="726"/>
    <n v="252"/>
    <d v="2025-02-20T00:00:00"/>
    <d v="2025-02-21T00:00:00"/>
    <x v="1"/>
    <x v="1"/>
    <x v="4"/>
    <x v="0"/>
    <x v="16"/>
    <x v="3"/>
    <x v="7"/>
    <x v="1"/>
  </r>
  <r>
    <s v="TX501339"/>
    <x v="15"/>
    <x v="8"/>
    <x v="59"/>
    <n v="184.8"/>
    <d v="2025-02-20T00:00:00"/>
    <d v="2025-02-25T00:00:00"/>
    <x v="1"/>
    <x v="0"/>
    <x v="2"/>
    <x v="0"/>
    <x v="23"/>
    <x v="0"/>
    <x v="7"/>
    <x v="1"/>
  </r>
  <r>
    <s v="TX501340"/>
    <x v="7"/>
    <x v="1"/>
    <x v="470"/>
    <n v="124.8"/>
    <d v="2025-02-20T00:00:00"/>
    <d v="2025-02-21T00:00:00"/>
    <x v="2"/>
    <x v="0"/>
    <x v="1"/>
    <x v="0"/>
    <x v="6"/>
    <x v="3"/>
    <x v="7"/>
    <x v="2"/>
  </r>
  <r>
    <s v="TX501341"/>
    <x v="6"/>
    <x v="4"/>
    <x v="253"/>
    <n v="488.40000000000003"/>
    <d v="2025-02-20T00:00:00"/>
    <d v="2025-02-22T00:00:00"/>
    <x v="1"/>
    <x v="1"/>
    <x v="2"/>
    <x v="0"/>
    <x v="6"/>
    <x v="1"/>
    <x v="7"/>
    <x v="1"/>
  </r>
  <r>
    <s v="TX501342"/>
    <x v="6"/>
    <x v="0"/>
    <x v="659"/>
    <n v="49.6"/>
    <d v="2025-02-20T00:00:00"/>
    <d v="2025-02-23T00:00:00"/>
    <x v="1"/>
    <x v="2"/>
    <x v="0"/>
    <x v="0"/>
    <x v="7"/>
    <x v="2"/>
    <x v="7"/>
    <x v="1"/>
  </r>
  <r>
    <s v="TX501343"/>
    <x v="7"/>
    <x v="41"/>
    <x v="450"/>
    <n v="2996.9999999999995"/>
    <d v="2025-02-20T00:00:00"/>
    <d v="2025-02-23T00:00:00"/>
    <x v="1"/>
    <x v="2"/>
    <x v="0"/>
    <x v="0"/>
    <x v="8"/>
    <x v="2"/>
    <x v="7"/>
    <x v="1"/>
  </r>
  <r>
    <s v="TX501344"/>
    <x v="8"/>
    <x v="2"/>
    <x v="23"/>
    <n v="79.199999999999989"/>
    <d v="2025-02-20T00:00:00"/>
    <d v="2025-02-21T00:00:00"/>
    <x v="2"/>
    <x v="1"/>
    <x v="1"/>
    <x v="0"/>
    <x v="8"/>
    <x v="3"/>
    <x v="7"/>
    <x v="2"/>
  </r>
  <r>
    <s v="TX501345"/>
    <x v="0"/>
    <x v="1"/>
    <x v="727"/>
    <n v="34.4"/>
    <d v="2025-02-20T00:00:00"/>
    <d v="2025-02-23T00:00:00"/>
    <x v="1"/>
    <x v="2"/>
    <x v="1"/>
    <x v="0"/>
    <x v="8"/>
    <x v="2"/>
    <x v="7"/>
    <x v="1"/>
  </r>
  <r>
    <s v="TX501346"/>
    <x v="5"/>
    <x v="8"/>
    <x v="215"/>
    <n v="464.8"/>
    <d v="2025-02-20T00:00:00"/>
    <d v="2025-02-23T00:00:00"/>
    <x v="2"/>
    <x v="4"/>
    <x v="0"/>
    <x v="0"/>
    <x v="8"/>
    <x v="2"/>
    <x v="7"/>
    <x v="2"/>
  </r>
  <r>
    <s v="TX501347"/>
    <x v="15"/>
    <x v="12"/>
    <x v="217"/>
    <n v="126"/>
    <d v="2025-02-20T00:00:00"/>
    <d v="2025-02-23T00:00:00"/>
    <x v="2"/>
    <x v="4"/>
    <x v="4"/>
    <x v="0"/>
    <x v="8"/>
    <x v="2"/>
    <x v="7"/>
    <x v="2"/>
  </r>
  <r>
    <s v="TX501348"/>
    <x v="0"/>
    <x v="0"/>
    <x v="399"/>
    <n v="27.1"/>
    <d v="2025-02-20T00:00:00"/>
    <d v="2025-02-22T00:00:00"/>
    <x v="2"/>
    <x v="0"/>
    <x v="1"/>
    <x v="0"/>
    <x v="17"/>
    <x v="1"/>
    <x v="7"/>
    <x v="2"/>
  </r>
  <r>
    <s v="TX501349"/>
    <x v="18"/>
    <x v="12"/>
    <x v="365"/>
    <n v="114"/>
    <d v="2025-02-20T00:00:00"/>
    <d v="2025-02-22T00:00:00"/>
    <x v="1"/>
    <x v="1"/>
    <x v="2"/>
    <x v="0"/>
    <x v="9"/>
    <x v="1"/>
    <x v="7"/>
    <x v="1"/>
  </r>
  <r>
    <s v="TX501350"/>
    <x v="10"/>
    <x v="0"/>
    <x v="145"/>
    <n v="40.5"/>
    <d v="2025-02-21T00:00:00"/>
    <d v="2025-02-23T00:00:00"/>
    <x v="3"/>
    <x v="2"/>
    <x v="0"/>
    <x v="0"/>
    <x v="9"/>
    <x v="1"/>
    <x v="7"/>
    <x v="3"/>
  </r>
  <r>
    <s v="TX501351"/>
    <x v="2"/>
    <x v="2"/>
    <x v="710"/>
    <n v="233.70000000000002"/>
    <d v="2025-02-21T00:00:00"/>
    <d v="2025-02-25T00:00:00"/>
    <x v="2"/>
    <x v="1"/>
    <x v="2"/>
    <x v="0"/>
    <x v="19"/>
    <x v="5"/>
    <x v="7"/>
    <x v="2"/>
  </r>
  <r>
    <s v="TX501352"/>
    <x v="18"/>
    <x v="12"/>
    <x v="719"/>
    <n v="148.4"/>
    <d v="2025-02-21T00:00:00"/>
    <d v="2025-02-23T00:00:00"/>
    <x v="1"/>
    <x v="4"/>
    <x v="2"/>
    <x v="0"/>
    <x v="19"/>
    <x v="1"/>
    <x v="7"/>
    <x v="1"/>
  </r>
  <r>
    <s v="TX501353"/>
    <x v="16"/>
    <x v="2"/>
    <x v="728"/>
    <n v="154.80000000000001"/>
    <d v="2025-02-21T00:00:00"/>
    <d v="2025-03-01T00:00:00"/>
    <x v="2"/>
    <x v="0"/>
    <x v="4"/>
    <x v="0"/>
    <x v="19"/>
    <x v="9"/>
    <x v="7"/>
    <x v="2"/>
  </r>
  <r>
    <s v="TX501354"/>
    <x v="7"/>
    <x v="2"/>
    <x v="729"/>
    <n v="294"/>
    <d v="2025-02-21T00:00:00"/>
    <d v="2025-02-22T00:00:00"/>
    <x v="1"/>
    <x v="1"/>
    <x v="1"/>
    <x v="0"/>
    <x v="19"/>
    <x v="3"/>
    <x v="7"/>
    <x v="1"/>
  </r>
  <r>
    <s v="TX501355"/>
    <x v="6"/>
    <x v="3"/>
    <x v="50"/>
    <n v="289.8"/>
    <d v="2025-02-21T00:00:00"/>
    <d v="2025-02-22T00:00:00"/>
    <x v="1"/>
    <x v="1"/>
    <x v="0"/>
    <x v="0"/>
    <x v="20"/>
    <x v="3"/>
    <x v="7"/>
    <x v="1"/>
  </r>
  <r>
    <s v="TX501356"/>
    <x v="11"/>
    <x v="8"/>
    <x v="324"/>
    <n v="272"/>
    <d v="2025-02-21T00:00:00"/>
    <d v="2025-02-26T00:00:00"/>
    <x v="2"/>
    <x v="0"/>
    <x v="2"/>
    <x v="0"/>
    <x v="52"/>
    <x v="0"/>
    <x v="7"/>
    <x v="2"/>
  </r>
  <r>
    <s v="TX501357"/>
    <x v="6"/>
    <x v="0"/>
    <x v="730"/>
    <n v="66.3"/>
    <d v="2025-02-21T00:00:00"/>
    <d v="2025-02-22T00:00:00"/>
    <x v="2"/>
    <x v="1"/>
    <x v="0"/>
    <x v="0"/>
    <x v="13"/>
    <x v="3"/>
    <x v="7"/>
    <x v="2"/>
  </r>
  <r>
    <s v="TX501358"/>
    <x v="7"/>
    <x v="0"/>
    <x v="232"/>
    <n v="33.5"/>
    <d v="2025-02-21T00:00:00"/>
    <d v="2025-02-25T00:00:00"/>
    <x v="1"/>
    <x v="2"/>
    <x v="0"/>
    <x v="0"/>
    <x v="13"/>
    <x v="5"/>
    <x v="7"/>
    <x v="1"/>
  </r>
  <r>
    <s v="TX501359"/>
    <x v="12"/>
    <x v="1"/>
    <x v="471"/>
    <n v="141.6"/>
    <d v="2025-02-21T00:00:00"/>
    <d v="2025-02-22T00:00:00"/>
    <x v="0"/>
    <x v="0"/>
    <x v="0"/>
    <x v="0"/>
    <x v="28"/>
    <x v="3"/>
    <x v="7"/>
    <x v="0"/>
  </r>
  <r>
    <s v="TX501360"/>
    <x v="6"/>
    <x v="1"/>
    <x v="731"/>
    <n v="255.2"/>
    <d v="2025-02-21T00:00:00"/>
    <d v="2025-02-22T00:00:00"/>
    <x v="1"/>
    <x v="0"/>
    <x v="0"/>
    <x v="0"/>
    <x v="21"/>
    <x v="3"/>
    <x v="7"/>
    <x v="1"/>
  </r>
  <r>
    <s v="TX501361"/>
    <x v="6"/>
    <x v="2"/>
    <x v="732"/>
    <n v="287.70000000000005"/>
    <d v="2025-02-21T00:00:00"/>
    <d v="2025-02-22T00:00:00"/>
    <x v="2"/>
    <x v="1"/>
    <x v="1"/>
    <x v="0"/>
    <x v="21"/>
    <x v="3"/>
    <x v="7"/>
    <x v="2"/>
  </r>
  <r>
    <s v="TX501362"/>
    <x v="2"/>
    <x v="1"/>
    <x v="505"/>
    <n v="156.19999999999999"/>
    <d v="2025-02-21T00:00:00"/>
    <d v="2025-02-22T00:00:00"/>
    <x v="1"/>
    <x v="0"/>
    <x v="0"/>
    <x v="0"/>
    <x v="1"/>
    <x v="3"/>
    <x v="7"/>
    <x v="1"/>
  </r>
  <r>
    <s v="TX501363"/>
    <x v="13"/>
    <x v="1"/>
    <x v="522"/>
    <n v="86.4"/>
    <d v="2025-02-21T00:00:00"/>
    <d v="2025-02-22T00:00:00"/>
    <x v="0"/>
    <x v="1"/>
    <x v="1"/>
    <x v="0"/>
    <x v="1"/>
    <x v="3"/>
    <x v="7"/>
    <x v="0"/>
  </r>
  <r>
    <s v="TX501364"/>
    <x v="8"/>
    <x v="12"/>
    <x v="70"/>
    <n v="113.6"/>
    <d v="2025-02-21T00:00:00"/>
    <d v="2025-02-27T00:00:00"/>
    <x v="1"/>
    <x v="2"/>
    <x v="0"/>
    <x v="0"/>
    <x v="3"/>
    <x v="4"/>
    <x v="7"/>
    <x v="1"/>
  </r>
  <r>
    <s v="TX501365"/>
    <x v="2"/>
    <x v="1"/>
    <x v="521"/>
    <n v="163.4"/>
    <d v="2025-02-21T00:00:00"/>
    <d v="2025-02-21T00:00:00"/>
    <x v="1"/>
    <x v="0"/>
    <x v="0"/>
    <x v="0"/>
    <x v="3"/>
    <x v="7"/>
    <x v="7"/>
    <x v="1"/>
  </r>
  <r>
    <s v="TX501366"/>
    <x v="18"/>
    <x v="1"/>
    <x v="4"/>
    <n v="113.4"/>
    <d v="2025-02-21T00:00:00"/>
    <d v="2025-02-23T00:00:00"/>
    <x v="0"/>
    <x v="0"/>
    <x v="2"/>
    <x v="0"/>
    <x v="3"/>
    <x v="1"/>
    <x v="7"/>
    <x v="0"/>
  </r>
  <r>
    <s v="TX501367"/>
    <x v="3"/>
    <x v="12"/>
    <x v="563"/>
    <n v="266"/>
    <d v="2025-02-21T00:00:00"/>
    <d v="2025-02-21T00:00:00"/>
    <x v="2"/>
    <x v="0"/>
    <x v="2"/>
    <x v="0"/>
    <x v="3"/>
    <x v="7"/>
    <x v="7"/>
    <x v="2"/>
  </r>
  <r>
    <s v="TX501368"/>
    <x v="1"/>
    <x v="1"/>
    <x v="733"/>
    <n v="210.6"/>
    <d v="2025-02-21T00:00:00"/>
    <d v="2025-02-25T00:00:00"/>
    <x v="1"/>
    <x v="0"/>
    <x v="1"/>
    <x v="0"/>
    <x v="3"/>
    <x v="5"/>
    <x v="7"/>
    <x v="1"/>
  </r>
  <r>
    <s v="TX501369"/>
    <x v="10"/>
    <x v="9"/>
    <x v="601"/>
    <n v="169"/>
    <d v="2025-02-21T00:00:00"/>
    <d v="2025-02-26T00:00:00"/>
    <x v="1"/>
    <x v="0"/>
    <x v="0"/>
    <x v="0"/>
    <x v="3"/>
    <x v="0"/>
    <x v="7"/>
    <x v="1"/>
  </r>
  <r>
    <s v="TX501370"/>
    <x v="6"/>
    <x v="2"/>
    <x v="734"/>
    <n v="190.2"/>
    <d v="2025-02-21T00:00:00"/>
    <d v="2025-02-26T00:00:00"/>
    <x v="1"/>
    <x v="3"/>
    <x v="1"/>
    <x v="0"/>
    <x v="24"/>
    <x v="0"/>
    <x v="7"/>
    <x v="1"/>
  </r>
  <r>
    <s v="TX501371"/>
    <x v="6"/>
    <x v="2"/>
    <x v="11"/>
    <n v="147"/>
    <d v="2025-02-21T00:00:00"/>
    <d v="2025-02-25T00:00:00"/>
    <x v="1"/>
    <x v="3"/>
    <x v="0"/>
    <x v="0"/>
    <x v="49"/>
    <x v="5"/>
    <x v="7"/>
    <x v="1"/>
  </r>
  <r>
    <s v="TX501372"/>
    <x v="1"/>
    <x v="1"/>
    <x v="152"/>
    <n v="80"/>
    <d v="2025-02-21T00:00:00"/>
    <d v="2025-02-22T00:00:00"/>
    <x v="2"/>
    <x v="4"/>
    <x v="1"/>
    <x v="0"/>
    <x v="23"/>
    <x v="3"/>
    <x v="7"/>
    <x v="2"/>
  </r>
  <r>
    <s v="TX501373"/>
    <x v="6"/>
    <x v="12"/>
    <x v="507"/>
    <n v="345.2"/>
    <d v="2025-02-21T00:00:00"/>
    <d v="2025-02-22T00:00:00"/>
    <x v="3"/>
    <x v="0"/>
    <x v="0"/>
    <x v="0"/>
    <x v="6"/>
    <x v="3"/>
    <x v="7"/>
    <x v="3"/>
  </r>
  <r>
    <s v="TX501374"/>
    <x v="6"/>
    <x v="0"/>
    <x v="728"/>
    <n v="51.6"/>
    <d v="2025-02-21T00:00:00"/>
    <d v="2025-02-23T00:00:00"/>
    <x v="2"/>
    <x v="2"/>
    <x v="2"/>
    <x v="0"/>
    <x v="6"/>
    <x v="1"/>
    <x v="7"/>
    <x v="2"/>
  </r>
  <r>
    <s v="TX501375"/>
    <x v="10"/>
    <x v="2"/>
    <x v="494"/>
    <n v="80.099999999999994"/>
    <d v="2025-02-21T00:00:00"/>
    <d v="2025-02-26T00:00:00"/>
    <x v="2"/>
    <x v="2"/>
    <x v="1"/>
    <x v="0"/>
    <x v="6"/>
    <x v="0"/>
    <x v="7"/>
    <x v="2"/>
  </r>
  <r>
    <s v="TX501376"/>
    <x v="18"/>
    <x v="1"/>
    <x v="735"/>
    <n v="136.19999999999999"/>
    <d v="2025-02-21T00:00:00"/>
    <d v="2025-02-22T00:00:00"/>
    <x v="1"/>
    <x v="0"/>
    <x v="1"/>
    <x v="0"/>
    <x v="6"/>
    <x v="3"/>
    <x v="7"/>
    <x v="1"/>
  </r>
  <r>
    <s v="TX501377"/>
    <x v="1"/>
    <x v="0"/>
    <x v="521"/>
    <n v="81.7"/>
    <d v="2025-02-21T00:00:00"/>
    <d v="2025-02-22T00:00:00"/>
    <x v="1"/>
    <x v="0"/>
    <x v="0"/>
    <x v="0"/>
    <x v="7"/>
    <x v="3"/>
    <x v="7"/>
    <x v="1"/>
  </r>
  <r>
    <s v="TX501378"/>
    <x v="18"/>
    <x v="7"/>
    <x v="403"/>
    <n v="251"/>
    <d v="2025-02-21T00:00:00"/>
    <d v="2025-02-24T00:00:00"/>
    <x v="1"/>
    <x v="3"/>
    <x v="1"/>
    <x v="0"/>
    <x v="8"/>
    <x v="2"/>
    <x v="7"/>
    <x v="1"/>
  </r>
  <r>
    <s v="TX501379"/>
    <x v="8"/>
    <x v="0"/>
    <x v="736"/>
    <n v="20.2"/>
    <d v="2025-02-21T00:00:00"/>
    <d v="2025-02-25T00:00:00"/>
    <x v="2"/>
    <x v="0"/>
    <x v="0"/>
    <x v="0"/>
    <x v="8"/>
    <x v="5"/>
    <x v="7"/>
    <x v="2"/>
  </r>
  <r>
    <s v="TX501380"/>
    <x v="8"/>
    <x v="2"/>
    <x v="455"/>
    <n v="46.2"/>
    <d v="2025-02-21T00:00:00"/>
    <d v="2025-02-22T00:00:00"/>
    <x v="1"/>
    <x v="1"/>
    <x v="2"/>
    <x v="0"/>
    <x v="8"/>
    <x v="3"/>
    <x v="7"/>
    <x v="1"/>
  </r>
  <r>
    <s v="TX501381"/>
    <x v="10"/>
    <x v="0"/>
    <x v="737"/>
    <n v="59.2"/>
    <d v="2025-02-21T00:00:00"/>
    <d v="2025-02-22T00:00:00"/>
    <x v="1"/>
    <x v="2"/>
    <x v="2"/>
    <x v="0"/>
    <x v="17"/>
    <x v="3"/>
    <x v="7"/>
    <x v="1"/>
  </r>
  <r>
    <s v="TX501382"/>
    <x v="0"/>
    <x v="0"/>
    <x v="21"/>
    <n v="46.7"/>
    <d v="2025-02-21T00:00:00"/>
    <d v="2025-02-26T00:00:00"/>
    <x v="1"/>
    <x v="0"/>
    <x v="0"/>
    <x v="0"/>
    <x v="17"/>
    <x v="0"/>
    <x v="7"/>
    <x v="1"/>
  </r>
  <r>
    <s v="TX501383"/>
    <x v="6"/>
    <x v="20"/>
    <x v="654"/>
    <n v="624"/>
    <d v="2025-02-21T00:00:00"/>
    <d v="2025-02-23T00:00:00"/>
    <x v="1"/>
    <x v="1"/>
    <x v="0"/>
    <x v="0"/>
    <x v="26"/>
    <x v="1"/>
    <x v="7"/>
    <x v="1"/>
  </r>
  <r>
    <s v="TX501384"/>
    <x v="8"/>
    <x v="1"/>
    <x v="359"/>
    <n v="38.4"/>
    <d v="2025-02-21T00:00:00"/>
    <d v="2025-02-24T00:00:00"/>
    <x v="1"/>
    <x v="4"/>
    <x v="2"/>
    <x v="0"/>
    <x v="9"/>
    <x v="2"/>
    <x v="7"/>
    <x v="1"/>
  </r>
  <r>
    <s v="TX501385"/>
    <x v="17"/>
    <x v="3"/>
    <x v="80"/>
    <n v="292.59999999999997"/>
    <d v="2025-02-21T00:00:00"/>
    <d v="2025-02-23T00:00:00"/>
    <x v="2"/>
    <x v="2"/>
    <x v="0"/>
    <x v="0"/>
    <x v="11"/>
    <x v="1"/>
    <x v="7"/>
    <x v="2"/>
  </r>
  <r>
    <s v="TX501386"/>
    <x v="8"/>
    <x v="13"/>
    <x v="484"/>
    <n v="224.39999999999998"/>
    <d v="2025-02-21T00:00:00"/>
    <d v="2025-02-23T00:00:00"/>
    <x v="1"/>
    <x v="0"/>
    <x v="2"/>
    <x v="0"/>
    <x v="11"/>
    <x v="1"/>
    <x v="7"/>
    <x v="1"/>
  </r>
  <r>
    <s v="TX501387"/>
    <x v="10"/>
    <x v="2"/>
    <x v="738"/>
    <n v="180.60000000000002"/>
    <d v="2025-02-21T00:00:00"/>
    <d v="2025-02-24T00:00:00"/>
    <x v="1"/>
    <x v="4"/>
    <x v="1"/>
    <x v="0"/>
    <x v="38"/>
    <x v="2"/>
    <x v="7"/>
    <x v="1"/>
  </r>
  <r>
    <s v="TX501388"/>
    <x v="9"/>
    <x v="1"/>
    <x v="739"/>
    <n v="183"/>
    <d v="2025-02-22T00:00:00"/>
    <d v="2025-02-23T00:00:00"/>
    <x v="1"/>
    <x v="0"/>
    <x v="0"/>
    <x v="0"/>
    <x v="13"/>
    <x v="3"/>
    <x v="7"/>
    <x v="1"/>
  </r>
  <r>
    <s v="TX501389"/>
    <x v="3"/>
    <x v="9"/>
    <x v="740"/>
    <n v="278.5"/>
    <d v="2025-02-22T00:00:00"/>
    <d v="2025-02-24T00:00:00"/>
    <x v="0"/>
    <x v="1"/>
    <x v="2"/>
    <x v="0"/>
    <x v="21"/>
    <x v="1"/>
    <x v="7"/>
    <x v="0"/>
  </r>
  <r>
    <s v="TX501390"/>
    <x v="7"/>
    <x v="1"/>
    <x v="741"/>
    <n v="153.4"/>
    <d v="2025-02-22T00:00:00"/>
    <d v="2025-02-24T00:00:00"/>
    <x v="1"/>
    <x v="0"/>
    <x v="1"/>
    <x v="0"/>
    <x v="21"/>
    <x v="1"/>
    <x v="7"/>
    <x v="1"/>
  </r>
  <r>
    <s v="TX501391"/>
    <x v="8"/>
    <x v="38"/>
    <x v="742"/>
    <n v="592.19999999999993"/>
    <d v="2025-02-22T00:00:00"/>
    <d v="2025-02-27T00:00:00"/>
    <x v="1"/>
    <x v="2"/>
    <x v="0"/>
    <x v="0"/>
    <x v="1"/>
    <x v="0"/>
    <x v="7"/>
    <x v="1"/>
  </r>
  <r>
    <s v="TX501392"/>
    <x v="7"/>
    <x v="9"/>
    <x v="743"/>
    <n v="466"/>
    <d v="2025-02-22T00:00:00"/>
    <d v="2025-02-24T00:00:00"/>
    <x v="2"/>
    <x v="4"/>
    <x v="2"/>
    <x v="0"/>
    <x v="1"/>
    <x v="1"/>
    <x v="7"/>
    <x v="2"/>
  </r>
  <r>
    <s v="TX501393"/>
    <x v="17"/>
    <x v="0"/>
    <x v="57"/>
    <n v="33.299999999999997"/>
    <d v="2025-02-22T00:00:00"/>
    <d v="2025-02-23T00:00:00"/>
    <x v="1"/>
    <x v="4"/>
    <x v="0"/>
    <x v="0"/>
    <x v="2"/>
    <x v="3"/>
    <x v="7"/>
    <x v="1"/>
  </r>
  <r>
    <s v="TX501394"/>
    <x v="10"/>
    <x v="1"/>
    <x v="644"/>
    <n v="78.2"/>
    <d v="2025-02-22T00:00:00"/>
    <d v="2025-02-25T00:00:00"/>
    <x v="1"/>
    <x v="0"/>
    <x v="0"/>
    <x v="0"/>
    <x v="44"/>
    <x v="2"/>
    <x v="7"/>
    <x v="1"/>
  </r>
  <r>
    <s v="TX501395"/>
    <x v="7"/>
    <x v="4"/>
    <x v="299"/>
    <n v="543.59999999999991"/>
    <d v="2025-02-22T00:00:00"/>
    <d v="2025-02-23T00:00:00"/>
    <x v="1"/>
    <x v="2"/>
    <x v="0"/>
    <x v="0"/>
    <x v="33"/>
    <x v="3"/>
    <x v="7"/>
    <x v="1"/>
  </r>
  <r>
    <s v="TX501396"/>
    <x v="9"/>
    <x v="3"/>
    <x v="412"/>
    <n v="237.29999999999998"/>
    <d v="2025-02-22T00:00:00"/>
    <d v="2025-02-23T00:00:00"/>
    <x v="1"/>
    <x v="4"/>
    <x v="0"/>
    <x v="0"/>
    <x v="33"/>
    <x v="3"/>
    <x v="7"/>
    <x v="1"/>
  </r>
  <r>
    <s v="TX501397"/>
    <x v="8"/>
    <x v="2"/>
    <x v="129"/>
    <n v="57"/>
    <d v="2025-02-22T00:00:00"/>
    <d v="2025-02-23T00:00:00"/>
    <x v="1"/>
    <x v="0"/>
    <x v="2"/>
    <x v="0"/>
    <x v="15"/>
    <x v="3"/>
    <x v="7"/>
    <x v="1"/>
  </r>
  <r>
    <s v="TX501398"/>
    <x v="4"/>
    <x v="0"/>
    <x v="245"/>
    <n v="41.9"/>
    <d v="2025-02-22T00:00:00"/>
    <d v="2025-02-25T00:00:00"/>
    <x v="2"/>
    <x v="2"/>
    <x v="0"/>
    <x v="0"/>
    <x v="22"/>
    <x v="2"/>
    <x v="7"/>
    <x v="2"/>
  </r>
  <r>
    <s v="TX501399"/>
    <x v="1"/>
    <x v="12"/>
    <x v="151"/>
    <n v="150"/>
    <d v="2025-02-22T00:00:00"/>
    <d v="2025-02-22T00:00:00"/>
    <x v="2"/>
    <x v="0"/>
    <x v="0"/>
    <x v="0"/>
    <x v="3"/>
    <x v="7"/>
    <x v="7"/>
    <x v="2"/>
  </r>
  <r>
    <s v="TX501400"/>
    <x v="0"/>
    <x v="1"/>
    <x v="363"/>
    <n v="81.599999999999994"/>
    <d v="2025-02-22T00:00:00"/>
    <d v="2025-02-25T00:00:00"/>
    <x v="1"/>
    <x v="0"/>
    <x v="0"/>
    <x v="0"/>
    <x v="3"/>
    <x v="2"/>
    <x v="7"/>
    <x v="1"/>
  </r>
  <r>
    <s v="TX501401"/>
    <x v="0"/>
    <x v="12"/>
    <x v="59"/>
    <n v="92.4"/>
    <d v="2025-02-22T00:00:00"/>
    <d v="2025-02-23T00:00:00"/>
    <x v="2"/>
    <x v="4"/>
    <x v="0"/>
    <x v="0"/>
    <x v="3"/>
    <x v="3"/>
    <x v="7"/>
    <x v="2"/>
  </r>
  <r>
    <s v="TX501402"/>
    <x v="8"/>
    <x v="9"/>
    <x v="418"/>
    <n v="196.5"/>
    <d v="2025-02-22T00:00:00"/>
    <d v="2025-02-23T00:00:00"/>
    <x v="2"/>
    <x v="0"/>
    <x v="0"/>
    <x v="0"/>
    <x v="3"/>
    <x v="3"/>
    <x v="7"/>
    <x v="2"/>
  </r>
  <r>
    <s v="TX501403"/>
    <x v="2"/>
    <x v="12"/>
    <x v="744"/>
    <n v="340.8"/>
    <d v="2025-02-22T00:00:00"/>
    <d v="2025-02-27T00:00:00"/>
    <x v="1"/>
    <x v="2"/>
    <x v="0"/>
    <x v="0"/>
    <x v="3"/>
    <x v="0"/>
    <x v="7"/>
    <x v="1"/>
  </r>
  <r>
    <s v="TX501404"/>
    <x v="8"/>
    <x v="13"/>
    <x v="398"/>
    <n v="96"/>
    <d v="2025-02-22T00:00:00"/>
    <d v="2025-02-25T00:00:00"/>
    <x v="1"/>
    <x v="1"/>
    <x v="0"/>
    <x v="0"/>
    <x v="3"/>
    <x v="2"/>
    <x v="7"/>
    <x v="1"/>
  </r>
  <r>
    <s v="TX501405"/>
    <x v="1"/>
    <x v="1"/>
    <x v="601"/>
    <n v="67.599999999999994"/>
    <d v="2025-02-22T00:00:00"/>
    <d v="2025-02-26T00:00:00"/>
    <x v="2"/>
    <x v="1"/>
    <x v="0"/>
    <x v="0"/>
    <x v="3"/>
    <x v="5"/>
    <x v="7"/>
    <x v="2"/>
  </r>
  <r>
    <s v="TX501406"/>
    <x v="3"/>
    <x v="0"/>
    <x v="579"/>
    <n v="70"/>
    <d v="2025-02-22T00:00:00"/>
    <d v="2025-02-23T00:00:00"/>
    <x v="2"/>
    <x v="0"/>
    <x v="0"/>
    <x v="0"/>
    <x v="3"/>
    <x v="3"/>
    <x v="7"/>
    <x v="2"/>
  </r>
  <r>
    <s v="TX501407"/>
    <x v="9"/>
    <x v="0"/>
    <x v="745"/>
    <n v="88"/>
    <d v="2025-02-22T00:00:00"/>
    <d v="2025-02-27T00:00:00"/>
    <x v="2"/>
    <x v="3"/>
    <x v="0"/>
    <x v="0"/>
    <x v="3"/>
    <x v="0"/>
    <x v="7"/>
    <x v="2"/>
  </r>
  <r>
    <s v="TX501408"/>
    <x v="2"/>
    <x v="2"/>
    <x v="746"/>
    <n v="222.29999999999998"/>
    <d v="2025-02-22T00:00:00"/>
    <d v="2025-02-22T00:00:00"/>
    <x v="1"/>
    <x v="4"/>
    <x v="1"/>
    <x v="0"/>
    <x v="3"/>
    <x v="7"/>
    <x v="7"/>
    <x v="1"/>
  </r>
  <r>
    <s v="TX501409"/>
    <x v="2"/>
    <x v="0"/>
    <x v="747"/>
    <n v="161.9"/>
    <d v="2025-02-22T00:00:00"/>
    <d v="2025-02-24T00:00:00"/>
    <x v="1"/>
    <x v="2"/>
    <x v="0"/>
    <x v="0"/>
    <x v="3"/>
    <x v="1"/>
    <x v="7"/>
    <x v="1"/>
  </r>
  <r>
    <s v="TX501410"/>
    <x v="4"/>
    <x v="1"/>
    <x v="548"/>
    <n v="88"/>
    <d v="2025-02-22T00:00:00"/>
    <d v="2025-02-23T00:00:00"/>
    <x v="3"/>
    <x v="4"/>
    <x v="1"/>
    <x v="0"/>
    <x v="3"/>
    <x v="3"/>
    <x v="7"/>
    <x v="3"/>
  </r>
  <r>
    <s v="TX501411"/>
    <x v="11"/>
    <x v="0"/>
    <x v="201"/>
    <n v="32.1"/>
    <d v="2025-02-22T00:00:00"/>
    <d v="2025-02-22T00:00:00"/>
    <x v="2"/>
    <x v="3"/>
    <x v="3"/>
    <x v="0"/>
    <x v="3"/>
    <x v="7"/>
    <x v="7"/>
    <x v="2"/>
  </r>
  <r>
    <s v="TX501412"/>
    <x v="2"/>
    <x v="12"/>
    <x v="720"/>
    <n v="419.2"/>
    <d v="2025-02-23T00:00:00"/>
    <d v="2025-02-25T00:00:00"/>
    <x v="3"/>
    <x v="0"/>
    <x v="0"/>
    <x v="0"/>
    <x v="3"/>
    <x v="1"/>
    <x v="8"/>
    <x v="3"/>
  </r>
  <r>
    <s v="TX501413"/>
    <x v="9"/>
    <x v="13"/>
    <x v="748"/>
    <n v="404.40000000000003"/>
    <d v="2025-02-23T00:00:00"/>
    <d v="2025-02-24T00:00:00"/>
    <x v="2"/>
    <x v="3"/>
    <x v="0"/>
    <x v="0"/>
    <x v="3"/>
    <x v="3"/>
    <x v="8"/>
    <x v="2"/>
  </r>
  <r>
    <s v="TX501414"/>
    <x v="6"/>
    <x v="1"/>
    <x v="749"/>
    <n v="230.4"/>
    <d v="2025-02-23T00:00:00"/>
    <d v="2025-02-24T00:00:00"/>
    <x v="2"/>
    <x v="1"/>
    <x v="0"/>
    <x v="0"/>
    <x v="4"/>
    <x v="3"/>
    <x v="8"/>
    <x v="2"/>
  </r>
  <r>
    <s v="TX501415"/>
    <x v="8"/>
    <x v="19"/>
    <x v="83"/>
    <n v="449.5"/>
    <d v="2025-02-23T00:00:00"/>
    <d v="2025-02-25T00:00:00"/>
    <x v="2"/>
    <x v="0"/>
    <x v="1"/>
    <x v="0"/>
    <x v="23"/>
    <x v="1"/>
    <x v="8"/>
    <x v="2"/>
  </r>
  <r>
    <s v="TX501416"/>
    <x v="6"/>
    <x v="5"/>
    <x v="633"/>
    <n v="730.40000000000009"/>
    <d v="2025-02-23T00:00:00"/>
    <d v="2025-02-25T00:00:00"/>
    <x v="2"/>
    <x v="0"/>
    <x v="0"/>
    <x v="0"/>
    <x v="6"/>
    <x v="1"/>
    <x v="8"/>
    <x v="2"/>
  </r>
  <r>
    <s v="TX501417"/>
    <x v="9"/>
    <x v="4"/>
    <x v="735"/>
    <n v="817.19999999999993"/>
    <d v="2025-02-23T00:00:00"/>
    <d v="2025-02-24T00:00:00"/>
    <x v="2"/>
    <x v="2"/>
    <x v="0"/>
    <x v="0"/>
    <x v="8"/>
    <x v="3"/>
    <x v="8"/>
    <x v="2"/>
  </r>
  <r>
    <s v="TX501418"/>
    <x v="8"/>
    <x v="9"/>
    <x v="504"/>
    <n v="162.5"/>
    <d v="2025-02-23T00:00:00"/>
    <d v="2025-02-27T00:00:00"/>
    <x v="1"/>
    <x v="2"/>
    <x v="1"/>
    <x v="0"/>
    <x v="8"/>
    <x v="5"/>
    <x v="8"/>
    <x v="1"/>
  </r>
  <r>
    <s v="TX501419"/>
    <x v="15"/>
    <x v="2"/>
    <x v="750"/>
    <n v="183.60000000000002"/>
    <d v="2025-02-23T00:00:00"/>
    <d v="2025-02-25T00:00:00"/>
    <x v="2"/>
    <x v="1"/>
    <x v="1"/>
    <x v="0"/>
    <x v="8"/>
    <x v="1"/>
    <x v="8"/>
    <x v="2"/>
  </r>
  <r>
    <s v="TX501420"/>
    <x v="9"/>
    <x v="1"/>
    <x v="706"/>
    <n v="108.4"/>
    <d v="2025-02-23T00:00:00"/>
    <d v="2025-02-24T00:00:00"/>
    <x v="2"/>
    <x v="1"/>
    <x v="0"/>
    <x v="0"/>
    <x v="8"/>
    <x v="3"/>
    <x v="8"/>
    <x v="2"/>
  </r>
  <r>
    <s v="TX501421"/>
    <x v="11"/>
    <x v="8"/>
    <x v="167"/>
    <n v="229.6"/>
    <d v="2025-02-23T00:00:00"/>
    <d v="2025-02-25T00:00:00"/>
    <x v="1"/>
    <x v="1"/>
    <x v="0"/>
    <x v="0"/>
    <x v="9"/>
    <x v="1"/>
    <x v="8"/>
    <x v="1"/>
  </r>
  <r>
    <s v="TX501422"/>
    <x v="12"/>
    <x v="13"/>
    <x v="751"/>
    <n v="229.20000000000002"/>
    <d v="2025-02-23T00:00:00"/>
    <d v="2025-02-27T00:00:00"/>
    <x v="2"/>
    <x v="0"/>
    <x v="1"/>
    <x v="0"/>
    <x v="9"/>
    <x v="5"/>
    <x v="8"/>
    <x v="2"/>
  </r>
  <r>
    <s v="TX501423"/>
    <x v="8"/>
    <x v="4"/>
    <x v="228"/>
    <n v="211.20000000000002"/>
    <d v="2025-02-23T00:00:00"/>
    <d v="2025-02-24T00:00:00"/>
    <x v="2"/>
    <x v="2"/>
    <x v="1"/>
    <x v="0"/>
    <x v="9"/>
    <x v="3"/>
    <x v="8"/>
    <x v="2"/>
  </r>
  <r>
    <s v="TX501424"/>
    <x v="10"/>
    <x v="2"/>
    <x v="752"/>
    <n v="223.79999999999998"/>
    <d v="2025-02-23T00:00:00"/>
    <d v="2025-02-23T00:00:00"/>
    <x v="2"/>
    <x v="2"/>
    <x v="0"/>
    <x v="0"/>
    <x v="11"/>
    <x v="7"/>
    <x v="8"/>
    <x v="2"/>
  </r>
  <r>
    <s v="TX501425"/>
    <x v="16"/>
    <x v="20"/>
    <x v="559"/>
    <n v="1089"/>
    <d v="2025-02-23T00:00:00"/>
    <d v="2025-02-23T00:00:00"/>
    <x v="0"/>
    <x v="1"/>
    <x v="1"/>
    <x v="0"/>
    <x v="11"/>
    <x v="7"/>
    <x v="8"/>
    <x v="0"/>
  </r>
  <r>
    <s v="TX501426"/>
    <x v="7"/>
    <x v="0"/>
    <x v="556"/>
    <n v="62.3"/>
    <d v="2025-02-23T00:00:00"/>
    <d v="2025-02-24T00:00:00"/>
    <x v="2"/>
    <x v="1"/>
    <x v="0"/>
    <x v="0"/>
    <x v="11"/>
    <x v="3"/>
    <x v="8"/>
    <x v="2"/>
  </r>
  <r>
    <s v="TX501427"/>
    <x v="3"/>
    <x v="2"/>
    <x v="601"/>
    <n v="101.39999999999999"/>
    <d v="2025-02-23T00:00:00"/>
    <d v="2025-02-25T00:00:00"/>
    <x v="1"/>
    <x v="0"/>
    <x v="2"/>
    <x v="0"/>
    <x v="20"/>
    <x v="1"/>
    <x v="8"/>
    <x v="1"/>
  </r>
  <r>
    <s v="TX501428"/>
    <x v="9"/>
    <x v="0"/>
    <x v="753"/>
    <n v="85.7"/>
    <d v="2025-02-23T00:00:00"/>
    <d v="2025-02-26T00:00:00"/>
    <x v="1"/>
    <x v="3"/>
    <x v="1"/>
    <x v="0"/>
    <x v="21"/>
    <x v="2"/>
    <x v="8"/>
    <x v="1"/>
  </r>
  <r>
    <s v="TX501429"/>
    <x v="6"/>
    <x v="1"/>
    <x v="754"/>
    <n v="184.2"/>
    <d v="2025-02-23T00:00:00"/>
    <d v="2025-02-25T00:00:00"/>
    <x v="1"/>
    <x v="1"/>
    <x v="0"/>
    <x v="0"/>
    <x v="21"/>
    <x v="1"/>
    <x v="8"/>
    <x v="1"/>
  </r>
  <r>
    <s v="TX501430"/>
    <x v="16"/>
    <x v="2"/>
    <x v="146"/>
    <n v="195.29999999999998"/>
    <d v="2025-02-23T00:00:00"/>
    <d v="2025-02-26T00:00:00"/>
    <x v="1"/>
    <x v="0"/>
    <x v="0"/>
    <x v="0"/>
    <x v="1"/>
    <x v="2"/>
    <x v="8"/>
    <x v="1"/>
  </r>
  <r>
    <s v="TX501431"/>
    <x v="9"/>
    <x v="3"/>
    <x v="127"/>
    <n v="142.1"/>
    <d v="2025-02-23T00:00:00"/>
    <d v="2025-02-24T00:00:00"/>
    <x v="2"/>
    <x v="2"/>
    <x v="2"/>
    <x v="0"/>
    <x v="2"/>
    <x v="3"/>
    <x v="8"/>
    <x v="2"/>
  </r>
  <r>
    <s v="TX501432"/>
    <x v="19"/>
    <x v="1"/>
    <x v="755"/>
    <n v="59.6"/>
    <d v="2025-02-23T00:00:00"/>
    <d v="2025-02-25T00:00:00"/>
    <x v="2"/>
    <x v="1"/>
    <x v="2"/>
    <x v="0"/>
    <x v="34"/>
    <x v="1"/>
    <x v="8"/>
    <x v="2"/>
  </r>
  <r>
    <s v="TX501433"/>
    <x v="0"/>
    <x v="1"/>
    <x v="512"/>
    <n v="48.4"/>
    <d v="2025-02-23T00:00:00"/>
    <d v="2025-02-25T00:00:00"/>
    <x v="2"/>
    <x v="3"/>
    <x v="2"/>
    <x v="0"/>
    <x v="3"/>
    <x v="1"/>
    <x v="8"/>
    <x v="2"/>
  </r>
  <r>
    <s v="TX501434"/>
    <x v="3"/>
    <x v="0"/>
    <x v="405"/>
    <n v="57.3"/>
    <d v="2025-02-23T00:00:00"/>
    <d v="2025-02-25T00:00:00"/>
    <x v="1"/>
    <x v="0"/>
    <x v="0"/>
    <x v="0"/>
    <x v="3"/>
    <x v="1"/>
    <x v="8"/>
    <x v="1"/>
  </r>
  <r>
    <s v="TX501435"/>
    <x v="2"/>
    <x v="0"/>
    <x v="756"/>
    <n v="108.9"/>
    <d v="2025-02-23T00:00:00"/>
    <d v="2025-02-25T00:00:00"/>
    <x v="2"/>
    <x v="1"/>
    <x v="0"/>
    <x v="0"/>
    <x v="3"/>
    <x v="1"/>
    <x v="8"/>
    <x v="2"/>
  </r>
  <r>
    <s v="TX501436"/>
    <x v="7"/>
    <x v="9"/>
    <x v="155"/>
    <n v="253.5"/>
    <d v="2025-02-23T00:00:00"/>
    <d v="2025-02-24T00:00:00"/>
    <x v="2"/>
    <x v="0"/>
    <x v="0"/>
    <x v="0"/>
    <x v="3"/>
    <x v="3"/>
    <x v="8"/>
    <x v="2"/>
  </r>
  <r>
    <s v="TX501437"/>
    <x v="7"/>
    <x v="11"/>
    <x v="757"/>
    <n v="594.9"/>
    <d v="2025-02-23T00:00:00"/>
    <d v="2025-03-09T00:00:00"/>
    <x v="2"/>
    <x v="1"/>
    <x v="0"/>
    <x v="0"/>
    <x v="3"/>
    <x v="12"/>
    <x v="8"/>
    <x v="2"/>
  </r>
  <r>
    <s v="TX501438"/>
    <x v="12"/>
    <x v="9"/>
    <x v="294"/>
    <n v="183.5"/>
    <d v="2025-02-23T00:00:00"/>
    <d v="2025-02-27T00:00:00"/>
    <x v="2"/>
    <x v="4"/>
    <x v="0"/>
    <x v="0"/>
    <x v="3"/>
    <x v="5"/>
    <x v="8"/>
    <x v="2"/>
  </r>
  <r>
    <s v="TX501439"/>
    <x v="8"/>
    <x v="14"/>
    <x v="55"/>
    <n v="328.1"/>
    <d v="2025-02-23T00:00:00"/>
    <d v="2025-02-25T00:00:00"/>
    <x v="1"/>
    <x v="0"/>
    <x v="0"/>
    <x v="0"/>
    <x v="43"/>
    <x v="1"/>
    <x v="8"/>
    <x v="1"/>
  </r>
  <r>
    <s v="TX501440"/>
    <x v="8"/>
    <x v="12"/>
    <x v="289"/>
    <n v="82.8"/>
    <d v="2025-02-23T00:00:00"/>
    <d v="2025-02-24T00:00:00"/>
    <x v="1"/>
    <x v="1"/>
    <x v="2"/>
    <x v="0"/>
    <x v="6"/>
    <x v="3"/>
    <x v="8"/>
    <x v="1"/>
  </r>
  <r>
    <s v="TX501441"/>
    <x v="5"/>
    <x v="2"/>
    <x v="86"/>
    <n v="164.10000000000002"/>
    <d v="2025-02-23T00:00:00"/>
    <d v="2025-02-23T00:00:00"/>
    <x v="3"/>
    <x v="1"/>
    <x v="4"/>
    <x v="0"/>
    <x v="6"/>
    <x v="7"/>
    <x v="8"/>
    <x v="3"/>
  </r>
  <r>
    <s v="TX501442"/>
    <x v="4"/>
    <x v="1"/>
    <x v="82"/>
    <n v="39.6"/>
    <d v="2025-02-23T00:00:00"/>
    <d v="2025-02-27T00:00:00"/>
    <x v="2"/>
    <x v="4"/>
    <x v="1"/>
    <x v="0"/>
    <x v="8"/>
    <x v="5"/>
    <x v="8"/>
    <x v="2"/>
  </r>
  <r>
    <s v="TX501443"/>
    <x v="7"/>
    <x v="0"/>
    <x v="758"/>
    <n v="41.1"/>
    <d v="2025-02-23T00:00:00"/>
    <d v="2025-02-25T00:00:00"/>
    <x v="2"/>
    <x v="0"/>
    <x v="2"/>
    <x v="0"/>
    <x v="8"/>
    <x v="1"/>
    <x v="8"/>
    <x v="2"/>
  </r>
  <r>
    <s v="TX501444"/>
    <x v="11"/>
    <x v="8"/>
    <x v="347"/>
    <n v="348"/>
    <d v="2025-02-23T00:00:00"/>
    <d v="2025-02-27T00:00:00"/>
    <x v="2"/>
    <x v="3"/>
    <x v="0"/>
    <x v="0"/>
    <x v="8"/>
    <x v="5"/>
    <x v="8"/>
    <x v="2"/>
  </r>
  <r>
    <s v="TX501445"/>
    <x v="8"/>
    <x v="21"/>
    <x v="129"/>
    <n v="266"/>
    <d v="2025-02-23T00:00:00"/>
    <d v="2025-02-24T00:00:00"/>
    <x v="1"/>
    <x v="0"/>
    <x v="0"/>
    <x v="0"/>
    <x v="26"/>
    <x v="3"/>
    <x v="8"/>
    <x v="1"/>
  </r>
  <r>
    <s v="TX501446"/>
    <x v="2"/>
    <x v="12"/>
    <x v="258"/>
    <n v="205.6"/>
    <d v="2025-02-23T00:00:00"/>
    <d v="2025-02-23T00:00:00"/>
    <x v="2"/>
    <x v="0"/>
    <x v="0"/>
    <x v="0"/>
    <x v="26"/>
    <x v="7"/>
    <x v="8"/>
    <x v="2"/>
  </r>
  <r>
    <s v="TX501447"/>
    <x v="10"/>
    <x v="1"/>
    <x v="759"/>
    <n v="79.599999999999994"/>
    <d v="2025-02-23T00:00:00"/>
    <d v="2025-02-26T00:00:00"/>
    <x v="1"/>
    <x v="3"/>
    <x v="1"/>
    <x v="0"/>
    <x v="13"/>
    <x v="2"/>
    <x v="8"/>
    <x v="1"/>
  </r>
  <r>
    <s v="TX501448"/>
    <x v="6"/>
    <x v="9"/>
    <x v="156"/>
    <n v="305"/>
    <d v="2025-02-23T00:00:00"/>
    <d v="2025-02-24T00:00:00"/>
    <x v="0"/>
    <x v="0"/>
    <x v="2"/>
    <x v="0"/>
    <x v="21"/>
    <x v="3"/>
    <x v="8"/>
    <x v="0"/>
  </r>
  <r>
    <s v="TX501449"/>
    <x v="8"/>
    <x v="5"/>
    <x v="536"/>
    <n v="166.1"/>
    <d v="2025-02-24T00:00:00"/>
    <d v="2025-03-01T00:00:00"/>
    <x v="1"/>
    <x v="3"/>
    <x v="2"/>
    <x v="0"/>
    <x v="2"/>
    <x v="0"/>
    <x v="8"/>
    <x v="1"/>
  </r>
  <r>
    <s v="TX501450"/>
    <x v="1"/>
    <x v="3"/>
    <x v="760"/>
    <n v="499.09999999999997"/>
    <d v="2025-02-24T00:00:00"/>
    <d v="2025-02-25T00:00:00"/>
    <x v="1"/>
    <x v="4"/>
    <x v="0"/>
    <x v="0"/>
    <x v="3"/>
    <x v="3"/>
    <x v="8"/>
    <x v="1"/>
  </r>
  <r>
    <s v="TX501451"/>
    <x v="10"/>
    <x v="0"/>
    <x v="136"/>
    <n v="25.8"/>
    <d v="2025-02-24T00:00:00"/>
    <d v="2025-02-26T00:00:00"/>
    <x v="2"/>
    <x v="0"/>
    <x v="2"/>
    <x v="0"/>
    <x v="3"/>
    <x v="1"/>
    <x v="8"/>
    <x v="2"/>
  </r>
  <r>
    <s v="TX501452"/>
    <x v="8"/>
    <x v="9"/>
    <x v="180"/>
    <n v="198"/>
    <d v="2025-02-24T00:00:00"/>
    <d v="2025-02-26T00:00:00"/>
    <x v="1"/>
    <x v="1"/>
    <x v="2"/>
    <x v="0"/>
    <x v="3"/>
    <x v="1"/>
    <x v="8"/>
    <x v="1"/>
  </r>
  <r>
    <s v="TX501453"/>
    <x v="5"/>
    <x v="1"/>
    <x v="761"/>
    <n v="128"/>
    <d v="2025-02-24T00:00:00"/>
    <d v="2025-02-24T00:00:00"/>
    <x v="1"/>
    <x v="1"/>
    <x v="1"/>
    <x v="0"/>
    <x v="3"/>
    <x v="7"/>
    <x v="8"/>
    <x v="1"/>
  </r>
  <r>
    <s v="TX501454"/>
    <x v="8"/>
    <x v="1"/>
    <x v="1"/>
    <n v="61.2"/>
    <d v="2025-02-24T00:00:00"/>
    <d v="2025-02-27T00:00:00"/>
    <x v="1"/>
    <x v="0"/>
    <x v="2"/>
    <x v="0"/>
    <x v="3"/>
    <x v="2"/>
    <x v="8"/>
    <x v="1"/>
  </r>
  <r>
    <s v="TX501455"/>
    <x v="8"/>
    <x v="1"/>
    <x v="210"/>
    <n v="42.6"/>
    <d v="2025-02-24T00:00:00"/>
    <d v="2025-02-25T00:00:00"/>
    <x v="1"/>
    <x v="0"/>
    <x v="1"/>
    <x v="0"/>
    <x v="3"/>
    <x v="3"/>
    <x v="8"/>
    <x v="1"/>
  </r>
  <r>
    <s v="TX501456"/>
    <x v="7"/>
    <x v="0"/>
    <x v="363"/>
    <n v="40.799999999999997"/>
    <d v="2025-02-24T00:00:00"/>
    <d v="2025-02-26T00:00:00"/>
    <x v="2"/>
    <x v="4"/>
    <x v="0"/>
    <x v="0"/>
    <x v="3"/>
    <x v="1"/>
    <x v="8"/>
    <x v="2"/>
  </r>
  <r>
    <s v="TX501457"/>
    <x v="9"/>
    <x v="12"/>
    <x v="389"/>
    <n v="110.8"/>
    <d v="2025-02-24T00:00:00"/>
    <d v="2025-02-25T00:00:00"/>
    <x v="2"/>
    <x v="0"/>
    <x v="1"/>
    <x v="0"/>
    <x v="3"/>
    <x v="3"/>
    <x v="8"/>
    <x v="2"/>
  </r>
  <r>
    <s v="TX501458"/>
    <x v="6"/>
    <x v="1"/>
    <x v="554"/>
    <n v="129.19999999999999"/>
    <d v="2025-02-24T00:00:00"/>
    <d v="2025-02-25T00:00:00"/>
    <x v="1"/>
    <x v="0"/>
    <x v="1"/>
    <x v="0"/>
    <x v="3"/>
    <x v="3"/>
    <x v="8"/>
    <x v="1"/>
  </r>
  <r>
    <s v="TX501459"/>
    <x v="6"/>
    <x v="27"/>
    <x v="677"/>
    <n v="1457.6"/>
    <d v="2025-02-24T00:00:00"/>
    <d v="2025-02-25T00:00:00"/>
    <x v="2"/>
    <x v="1"/>
    <x v="2"/>
    <x v="0"/>
    <x v="3"/>
    <x v="3"/>
    <x v="8"/>
    <x v="2"/>
  </r>
  <r>
    <s v="TX501460"/>
    <x v="1"/>
    <x v="0"/>
    <x v="557"/>
    <n v="39.5"/>
    <d v="2025-02-24T00:00:00"/>
    <d v="2025-03-04T00:00:00"/>
    <x v="2"/>
    <x v="0"/>
    <x v="0"/>
    <x v="0"/>
    <x v="3"/>
    <x v="9"/>
    <x v="8"/>
    <x v="2"/>
  </r>
  <r>
    <s v="TX501461"/>
    <x v="9"/>
    <x v="1"/>
    <x v="301"/>
    <n v="43.6"/>
    <d v="2025-02-24T00:00:00"/>
    <d v="2025-02-28T00:00:00"/>
    <x v="1"/>
    <x v="4"/>
    <x v="2"/>
    <x v="0"/>
    <x v="3"/>
    <x v="5"/>
    <x v="8"/>
    <x v="1"/>
  </r>
  <r>
    <s v="TX501462"/>
    <x v="8"/>
    <x v="1"/>
    <x v="707"/>
    <n v="102"/>
    <d v="2025-02-24T00:00:00"/>
    <d v="2025-02-27T00:00:00"/>
    <x v="1"/>
    <x v="3"/>
    <x v="2"/>
    <x v="0"/>
    <x v="3"/>
    <x v="2"/>
    <x v="8"/>
    <x v="1"/>
  </r>
  <r>
    <s v="TX501463"/>
    <x v="2"/>
    <x v="0"/>
    <x v="109"/>
    <n v="92.6"/>
    <d v="2025-02-24T00:00:00"/>
    <d v="2025-02-27T00:00:00"/>
    <x v="2"/>
    <x v="0"/>
    <x v="2"/>
    <x v="0"/>
    <x v="35"/>
    <x v="2"/>
    <x v="8"/>
    <x v="2"/>
  </r>
  <r>
    <s v="TX501464"/>
    <x v="9"/>
    <x v="1"/>
    <x v="16"/>
    <n v="62.2"/>
    <d v="2025-02-24T00:00:00"/>
    <d v="2025-03-01T00:00:00"/>
    <x v="0"/>
    <x v="1"/>
    <x v="3"/>
    <x v="0"/>
    <x v="23"/>
    <x v="0"/>
    <x v="8"/>
    <x v="0"/>
  </r>
  <r>
    <s v="TX501465"/>
    <x v="5"/>
    <x v="2"/>
    <x v="576"/>
    <n v="169.2"/>
    <d v="2025-02-24T00:00:00"/>
    <d v="2025-02-25T00:00:00"/>
    <x v="0"/>
    <x v="1"/>
    <x v="0"/>
    <x v="0"/>
    <x v="6"/>
    <x v="3"/>
    <x v="8"/>
    <x v="0"/>
  </r>
  <r>
    <s v="TX501466"/>
    <x v="9"/>
    <x v="0"/>
    <x v="245"/>
    <n v="41.9"/>
    <d v="2025-02-24T00:00:00"/>
    <d v="2025-02-24T00:00:00"/>
    <x v="1"/>
    <x v="1"/>
    <x v="0"/>
    <x v="0"/>
    <x v="6"/>
    <x v="7"/>
    <x v="8"/>
    <x v="1"/>
  </r>
  <r>
    <s v="TX501467"/>
    <x v="10"/>
    <x v="3"/>
    <x v="206"/>
    <n v="321.3"/>
    <d v="2025-02-24T00:00:00"/>
    <d v="2025-02-25T00:00:00"/>
    <x v="1"/>
    <x v="3"/>
    <x v="2"/>
    <x v="0"/>
    <x v="8"/>
    <x v="3"/>
    <x v="8"/>
    <x v="1"/>
  </r>
  <r>
    <s v="TX501468"/>
    <x v="14"/>
    <x v="11"/>
    <x v="278"/>
    <n v="219.6"/>
    <d v="2025-02-24T00:00:00"/>
    <d v="2025-02-28T00:00:00"/>
    <x v="1"/>
    <x v="3"/>
    <x v="2"/>
    <x v="0"/>
    <x v="8"/>
    <x v="5"/>
    <x v="8"/>
    <x v="1"/>
  </r>
  <r>
    <s v="TX501469"/>
    <x v="8"/>
    <x v="0"/>
    <x v="762"/>
    <n v="18.2"/>
    <d v="2025-02-24T00:00:00"/>
    <d v="2025-02-25T00:00:00"/>
    <x v="2"/>
    <x v="2"/>
    <x v="2"/>
    <x v="0"/>
    <x v="8"/>
    <x v="3"/>
    <x v="8"/>
    <x v="2"/>
  </r>
  <r>
    <s v="TX501470"/>
    <x v="8"/>
    <x v="12"/>
    <x v="440"/>
    <n v="204.8"/>
    <d v="2025-02-24T00:00:00"/>
    <d v="2025-02-25T00:00:00"/>
    <x v="2"/>
    <x v="0"/>
    <x v="0"/>
    <x v="0"/>
    <x v="8"/>
    <x v="3"/>
    <x v="8"/>
    <x v="2"/>
  </r>
  <r>
    <s v="TX501471"/>
    <x v="6"/>
    <x v="0"/>
    <x v="115"/>
    <n v="59.7"/>
    <d v="2025-02-24T00:00:00"/>
    <d v="2025-02-27T00:00:00"/>
    <x v="1"/>
    <x v="0"/>
    <x v="2"/>
    <x v="0"/>
    <x v="8"/>
    <x v="2"/>
    <x v="8"/>
    <x v="1"/>
  </r>
  <r>
    <s v="TX501472"/>
    <x v="4"/>
    <x v="1"/>
    <x v="570"/>
    <n v="67.2"/>
    <d v="2025-02-24T00:00:00"/>
    <d v="2025-02-26T00:00:00"/>
    <x v="2"/>
    <x v="0"/>
    <x v="0"/>
    <x v="0"/>
    <x v="17"/>
    <x v="1"/>
    <x v="8"/>
    <x v="2"/>
  </r>
  <r>
    <s v="TX501473"/>
    <x v="12"/>
    <x v="0"/>
    <x v="763"/>
    <n v="90.4"/>
    <d v="2025-02-24T00:00:00"/>
    <d v="2025-02-28T00:00:00"/>
    <x v="1"/>
    <x v="1"/>
    <x v="2"/>
    <x v="0"/>
    <x v="10"/>
    <x v="5"/>
    <x v="8"/>
    <x v="1"/>
  </r>
  <r>
    <s v="TX501474"/>
    <x v="11"/>
    <x v="2"/>
    <x v="451"/>
    <n v="210.89999999999998"/>
    <d v="2025-02-24T00:00:00"/>
    <d v="2025-02-24T00:00:00"/>
    <x v="1"/>
    <x v="1"/>
    <x v="2"/>
    <x v="0"/>
    <x v="11"/>
    <x v="7"/>
    <x v="8"/>
    <x v="1"/>
  </r>
  <r>
    <s v="TX501475"/>
    <x v="4"/>
    <x v="1"/>
    <x v="580"/>
    <n v="41"/>
    <d v="2025-02-24T00:00:00"/>
    <d v="2025-02-27T00:00:00"/>
    <x v="2"/>
    <x v="0"/>
    <x v="1"/>
    <x v="0"/>
    <x v="11"/>
    <x v="2"/>
    <x v="8"/>
    <x v="2"/>
  </r>
  <r>
    <s v="TX501476"/>
    <x v="5"/>
    <x v="5"/>
    <x v="410"/>
    <n v="413.6"/>
    <d v="2025-02-24T00:00:00"/>
    <d v="2025-02-25T00:00:00"/>
    <x v="1"/>
    <x v="0"/>
    <x v="0"/>
    <x v="0"/>
    <x v="38"/>
    <x v="3"/>
    <x v="8"/>
    <x v="1"/>
  </r>
  <r>
    <s v="TX501477"/>
    <x v="5"/>
    <x v="12"/>
    <x v="89"/>
    <n v="246"/>
    <d v="2025-02-24T00:00:00"/>
    <d v="2025-03-03T00:00:00"/>
    <x v="2"/>
    <x v="1"/>
    <x v="4"/>
    <x v="0"/>
    <x v="13"/>
    <x v="6"/>
    <x v="8"/>
    <x v="2"/>
  </r>
  <r>
    <s v="TX501478"/>
    <x v="9"/>
    <x v="0"/>
    <x v="232"/>
    <n v="33.5"/>
    <d v="2025-02-25T00:00:00"/>
    <d v="2025-03-01T00:00:00"/>
    <x v="1"/>
    <x v="4"/>
    <x v="1"/>
    <x v="0"/>
    <x v="21"/>
    <x v="5"/>
    <x v="8"/>
    <x v="1"/>
  </r>
  <r>
    <s v="TX501479"/>
    <x v="4"/>
    <x v="2"/>
    <x v="143"/>
    <n v="87.9"/>
    <d v="2025-02-25T00:00:00"/>
    <d v="2025-02-27T00:00:00"/>
    <x v="2"/>
    <x v="1"/>
    <x v="2"/>
    <x v="0"/>
    <x v="1"/>
    <x v="1"/>
    <x v="8"/>
    <x v="2"/>
  </r>
  <r>
    <s v="TX501480"/>
    <x v="2"/>
    <x v="1"/>
    <x v="764"/>
    <n v="251.8"/>
    <d v="2025-02-25T00:00:00"/>
    <d v="2025-03-02T00:00:00"/>
    <x v="2"/>
    <x v="4"/>
    <x v="1"/>
    <x v="0"/>
    <x v="1"/>
    <x v="0"/>
    <x v="8"/>
    <x v="2"/>
  </r>
  <r>
    <s v="TX501481"/>
    <x v="5"/>
    <x v="9"/>
    <x v="143"/>
    <n v="146.5"/>
    <d v="2025-02-25T00:00:00"/>
    <d v="2025-02-25T00:00:00"/>
    <x v="1"/>
    <x v="2"/>
    <x v="0"/>
    <x v="0"/>
    <x v="44"/>
    <x v="7"/>
    <x v="8"/>
    <x v="1"/>
  </r>
  <r>
    <s v="TX501482"/>
    <x v="9"/>
    <x v="0"/>
    <x v="256"/>
    <n v="37.799999999999997"/>
    <d v="2025-02-25T00:00:00"/>
    <d v="2025-02-28T00:00:00"/>
    <x v="2"/>
    <x v="0"/>
    <x v="2"/>
    <x v="0"/>
    <x v="3"/>
    <x v="2"/>
    <x v="8"/>
    <x v="2"/>
  </r>
  <r>
    <s v="TX501483"/>
    <x v="0"/>
    <x v="12"/>
    <x v="132"/>
    <n v="126.8"/>
    <d v="2025-02-25T00:00:00"/>
    <d v="2025-02-26T00:00:00"/>
    <x v="1"/>
    <x v="2"/>
    <x v="2"/>
    <x v="0"/>
    <x v="3"/>
    <x v="3"/>
    <x v="8"/>
    <x v="1"/>
  </r>
  <r>
    <s v="TX501484"/>
    <x v="8"/>
    <x v="9"/>
    <x v="133"/>
    <n v="131.5"/>
    <d v="2025-02-25T00:00:00"/>
    <d v="2025-02-26T00:00:00"/>
    <x v="2"/>
    <x v="3"/>
    <x v="2"/>
    <x v="0"/>
    <x v="3"/>
    <x v="3"/>
    <x v="8"/>
    <x v="2"/>
  </r>
  <r>
    <s v="TX501485"/>
    <x v="8"/>
    <x v="2"/>
    <x v="59"/>
    <n v="69.300000000000011"/>
    <d v="2025-02-25T00:00:00"/>
    <d v="2025-02-26T00:00:00"/>
    <x v="3"/>
    <x v="2"/>
    <x v="1"/>
    <x v="0"/>
    <x v="3"/>
    <x v="3"/>
    <x v="8"/>
    <x v="3"/>
  </r>
  <r>
    <s v="TX501486"/>
    <x v="4"/>
    <x v="0"/>
    <x v="208"/>
    <n v="22.3"/>
    <d v="2025-02-25T00:00:00"/>
    <d v="2025-02-27T00:00:00"/>
    <x v="2"/>
    <x v="2"/>
    <x v="0"/>
    <x v="0"/>
    <x v="3"/>
    <x v="1"/>
    <x v="8"/>
    <x v="2"/>
  </r>
  <r>
    <s v="TX501487"/>
    <x v="12"/>
    <x v="1"/>
    <x v="765"/>
    <n v="199"/>
    <d v="2025-02-25T00:00:00"/>
    <d v="2025-02-27T00:00:00"/>
    <x v="2"/>
    <x v="2"/>
    <x v="0"/>
    <x v="0"/>
    <x v="3"/>
    <x v="1"/>
    <x v="8"/>
    <x v="2"/>
  </r>
  <r>
    <s v="TX501488"/>
    <x v="12"/>
    <x v="12"/>
    <x v="68"/>
    <n v="189.6"/>
    <d v="2025-02-25T00:00:00"/>
    <d v="2025-02-28T00:00:00"/>
    <x v="2"/>
    <x v="1"/>
    <x v="0"/>
    <x v="0"/>
    <x v="3"/>
    <x v="2"/>
    <x v="8"/>
    <x v="2"/>
  </r>
  <r>
    <s v="TX501489"/>
    <x v="0"/>
    <x v="5"/>
    <x v="151"/>
    <n v="412.5"/>
    <d v="2025-02-25T00:00:00"/>
    <d v="2025-02-27T00:00:00"/>
    <x v="2"/>
    <x v="0"/>
    <x v="3"/>
    <x v="0"/>
    <x v="3"/>
    <x v="1"/>
    <x v="8"/>
    <x v="2"/>
  </r>
  <r>
    <s v="TX501490"/>
    <x v="10"/>
    <x v="0"/>
    <x v="226"/>
    <n v="45.1"/>
    <d v="2025-02-25T00:00:00"/>
    <d v="2025-03-02T00:00:00"/>
    <x v="1"/>
    <x v="3"/>
    <x v="2"/>
    <x v="0"/>
    <x v="24"/>
    <x v="0"/>
    <x v="8"/>
    <x v="1"/>
  </r>
  <r>
    <s v="TX501491"/>
    <x v="5"/>
    <x v="7"/>
    <x v="766"/>
    <n v="344"/>
    <d v="2025-02-25T00:00:00"/>
    <d v="2025-02-28T00:00:00"/>
    <x v="1"/>
    <x v="2"/>
    <x v="0"/>
    <x v="0"/>
    <x v="16"/>
    <x v="2"/>
    <x v="8"/>
    <x v="1"/>
  </r>
  <r>
    <s v="TX501492"/>
    <x v="4"/>
    <x v="1"/>
    <x v="545"/>
    <n v="76"/>
    <d v="2025-02-25T00:00:00"/>
    <d v="2025-02-27T00:00:00"/>
    <x v="2"/>
    <x v="1"/>
    <x v="0"/>
    <x v="0"/>
    <x v="5"/>
    <x v="1"/>
    <x v="8"/>
    <x v="2"/>
  </r>
  <r>
    <s v="TX501493"/>
    <x v="3"/>
    <x v="21"/>
    <x v="498"/>
    <n v="453.59999999999997"/>
    <d v="2025-02-25T00:00:00"/>
    <d v="2025-02-28T00:00:00"/>
    <x v="1"/>
    <x v="4"/>
    <x v="0"/>
    <x v="0"/>
    <x v="6"/>
    <x v="2"/>
    <x v="8"/>
    <x v="1"/>
  </r>
  <r>
    <s v="TX501494"/>
    <x v="6"/>
    <x v="2"/>
    <x v="446"/>
    <n v="122.69999999999999"/>
    <d v="2025-02-25T00:00:00"/>
    <d v="2025-02-25T00:00:00"/>
    <x v="0"/>
    <x v="1"/>
    <x v="0"/>
    <x v="0"/>
    <x v="8"/>
    <x v="7"/>
    <x v="8"/>
    <x v="0"/>
  </r>
  <r>
    <s v="TX501495"/>
    <x v="7"/>
    <x v="3"/>
    <x v="767"/>
    <n v="533.4"/>
    <d v="2025-02-25T00:00:00"/>
    <d v="2025-02-27T00:00:00"/>
    <x v="2"/>
    <x v="2"/>
    <x v="1"/>
    <x v="0"/>
    <x v="8"/>
    <x v="1"/>
    <x v="8"/>
    <x v="2"/>
  </r>
  <r>
    <s v="TX501496"/>
    <x v="2"/>
    <x v="0"/>
    <x v="768"/>
    <n v="85.6"/>
    <d v="2025-02-25T00:00:00"/>
    <d v="2025-02-27T00:00:00"/>
    <x v="1"/>
    <x v="2"/>
    <x v="0"/>
    <x v="0"/>
    <x v="8"/>
    <x v="1"/>
    <x v="8"/>
    <x v="1"/>
  </r>
  <r>
    <s v="TX501497"/>
    <x v="4"/>
    <x v="12"/>
    <x v="769"/>
    <n v="100"/>
    <d v="2025-02-25T00:00:00"/>
    <d v="2025-02-27T00:00:00"/>
    <x v="2"/>
    <x v="2"/>
    <x v="2"/>
    <x v="0"/>
    <x v="8"/>
    <x v="1"/>
    <x v="8"/>
    <x v="2"/>
  </r>
  <r>
    <s v="TX501498"/>
    <x v="2"/>
    <x v="9"/>
    <x v="770"/>
    <n v="753.5"/>
    <d v="2025-02-25T00:00:00"/>
    <d v="2025-02-26T00:00:00"/>
    <x v="0"/>
    <x v="0"/>
    <x v="2"/>
    <x v="0"/>
    <x v="8"/>
    <x v="3"/>
    <x v="8"/>
    <x v="0"/>
  </r>
  <r>
    <s v="TX501499"/>
    <x v="8"/>
    <x v="0"/>
    <x v="266"/>
    <n v="19.600000000000001"/>
    <d v="2025-02-25T00:00:00"/>
    <d v="2025-02-26T00:00:00"/>
    <x v="1"/>
    <x v="1"/>
    <x v="4"/>
    <x v="0"/>
    <x v="8"/>
    <x v="3"/>
    <x v="8"/>
    <x v="1"/>
  </r>
  <r>
    <s v="TX501500"/>
    <x v="13"/>
    <x v="1"/>
    <x v="151"/>
    <n v="75"/>
    <d v="2025-02-25T00:00:00"/>
    <d v="2025-02-28T00:00:00"/>
    <x v="2"/>
    <x v="1"/>
    <x v="2"/>
    <x v="0"/>
    <x v="17"/>
    <x v="2"/>
    <x v="8"/>
    <x v="2"/>
  </r>
  <r>
    <s v="TX501501"/>
    <x v="9"/>
    <x v="2"/>
    <x v="424"/>
    <n v="155.69999999999999"/>
    <d v="2025-02-25T00:00:00"/>
    <d v="2025-03-03T00:00:00"/>
    <x v="2"/>
    <x v="0"/>
    <x v="4"/>
    <x v="0"/>
    <x v="11"/>
    <x v="4"/>
    <x v="8"/>
    <x v="2"/>
  </r>
  <r>
    <s v="TX501502"/>
    <x v="1"/>
    <x v="1"/>
    <x v="15"/>
    <n v="61.8"/>
    <d v="2025-02-25T00:00:00"/>
    <d v="2025-02-27T00:00:00"/>
    <x v="2"/>
    <x v="1"/>
    <x v="0"/>
    <x v="0"/>
    <x v="18"/>
    <x v="1"/>
    <x v="8"/>
    <x v="2"/>
  </r>
  <r>
    <s v="TX501503"/>
    <x v="4"/>
    <x v="2"/>
    <x v="191"/>
    <n v="63.599999999999994"/>
    <d v="2025-02-25T00:00:00"/>
    <d v="2025-02-28T00:00:00"/>
    <x v="2"/>
    <x v="1"/>
    <x v="0"/>
    <x v="0"/>
    <x v="19"/>
    <x v="2"/>
    <x v="8"/>
    <x v="2"/>
  </r>
  <r>
    <s v="TX501504"/>
    <x v="13"/>
    <x v="14"/>
    <x v="25"/>
    <n v="297.5"/>
    <d v="2025-02-25T00:00:00"/>
    <d v="2025-02-26T00:00:00"/>
    <x v="1"/>
    <x v="1"/>
    <x v="1"/>
    <x v="0"/>
    <x v="13"/>
    <x v="3"/>
    <x v="8"/>
    <x v="1"/>
  </r>
  <r>
    <s v="TX501505"/>
    <x v="12"/>
    <x v="1"/>
    <x v="589"/>
    <n v="107.6"/>
    <d v="2025-02-25T00:00:00"/>
    <d v="2025-03-02T00:00:00"/>
    <x v="2"/>
    <x v="0"/>
    <x v="2"/>
    <x v="0"/>
    <x v="21"/>
    <x v="0"/>
    <x v="8"/>
    <x v="2"/>
  </r>
  <r>
    <s v="TX501506"/>
    <x v="19"/>
    <x v="1"/>
    <x v="771"/>
    <n v="34"/>
    <d v="2025-02-25T00:00:00"/>
    <d v="2025-02-26T00:00:00"/>
    <x v="1"/>
    <x v="3"/>
    <x v="0"/>
    <x v="0"/>
    <x v="21"/>
    <x v="3"/>
    <x v="8"/>
    <x v="1"/>
  </r>
  <r>
    <s v="TX501507"/>
    <x v="6"/>
    <x v="0"/>
    <x v="772"/>
    <n v="103.2"/>
    <d v="2025-02-25T00:00:00"/>
    <d v="2025-03-05T00:00:00"/>
    <x v="1"/>
    <x v="2"/>
    <x v="1"/>
    <x v="0"/>
    <x v="1"/>
    <x v="9"/>
    <x v="8"/>
    <x v="1"/>
  </r>
  <r>
    <s v="TX501508"/>
    <x v="6"/>
    <x v="12"/>
    <x v="451"/>
    <n v="281.2"/>
    <d v="2025-02-25T00:00:00"/>
    <d v="2025-02-26T00:00:00"/>
    <x v="1"/>
    <x v="0"/>
    <x v="0"/>
    <x v="0"/>
    <x v="3"/>
    <x v="3"/>
    <x v="8"/>
    <x v="1"/>
  </r>
  <r>
    <s v="TX501509"/>
    <x v="2"/>
    <x v="1"/>
    <x v="773"/>
    <n v="147.6"/>
    <d v="2025-02-25T00:00:00"/>
    <d v="2025-02-25T00:00:00"/>
    <x v="1"/>
    <x v="3"/>
    <x v="2"/>
    <x v="0"/>
    <x v="3"/>
    <x v="7"/>
    <x v="8"/>
    <x v="1"/>
  </r>
  <r>
    <s v="TX501510"/>
    <x v="1"/>
    <x v="4"/>
    <x v="509"/>
    <n v="812.40000000000009"/>
    <d v="2025-02-25T00:00:00"/>
    <d v="2025-03-01T00:00:00"/>
    <x v="1"/>
    <x v="1"/>
    <x v="1"/>
    <x v="0"/>
    <x v="3"/>
    <x v="5"/>
    <x v="8"/>
    <x v="1"/>
  </r>
  <r>
    <s v="TX501511"/>
    <x v="13"/>
    <x v="3"/>
    <x v="20"/>
    <n v="306.59999999999997"/>
    <d v="2025-02-25T00:00:00"/>
    <d v="2025-02-27T00:00:00"/>
    <x v="1"/>
    <x v="1"/>
    <x v="0"/>
    <x v="0"/>
    <x v="3"/>
    <x v="1"/>
    <x v="8"/>
    <x v="1"/>
  </r>
  <r>
    <s v="TX501512"/>
    <x v="17"/>
    <x v="13"/>
    <x v="774"/>
    <n v="431.40000000000003"/>
    <d v="2025-02-25T00:00:00"/>
    <d v="2025-02-26T00:00:00"/>
    <x v="2"/>
    <x v="2"/>
    <x v="0"/>
    <x v="0"/>
    <x v="3"/>
    <x v="3"/>
    <x v="8"/>
    <x v="2"/>
  </r>
  <r>
    <s v="TX501513"/>
    <x v="8"/>
    <x v="1"/>
    <x v="133"/>
    <n v="52.6"/>
    <d v="2025-02-26T00:00:00"/>
    <d v="2025-02-28T00:00:00"/>
    <x v="2"/>
    <x v="0"/>
    <x v="1"/>
    <x v="0"/>
    <x v="3"/>
    <x v="1"/>
    <x v="8"/>
    <x v="2"/>
  </r>
  <r>
    <s v="TX501514"/>
    <x v="6"/>
    <x v="12"/>
    <x v="699"/>
    <n v="210.4"/>
    <d v="2025-02-26T00:00:00"/>
    <d v="2025-02-28T00:00:00"/>
    <x v="2"/>
    <x v="2"/>
    <x v="1"/>
    <x v="0"/>
    <x v="3"/>
    <x v="1"/>
    <x v="8"/>
    <x v="2"/>
  </r>
  <r>
    <s v="TX501515"/>
    <x v="10"/>
    <x v="0"/>
    <x v="195"/>
    <n v="32.700000000000003"/>
    <d v="2025-02-26T00:00:00"/>
    <d v="2025-03-05T00:00:00"/>
    <x v="2"/>
    <x v="0"/>
    <x v="2"/>
    <x v="0"/>
    <x v="3"/>
    <x v="6"/>
    <x v="8"/>
    <x v="2"/>
  </r>
  <r>
    <s v="TX501516"/>
    <x v="5"/>
    <x v="12"/>
    <x v="400"/>
    <n v="155.6"/>
    <d v="2025-02-26T00:00:00"/>
    <d v="2025-02-27T00:00:00"/>
    <x v="2"/>
    <x v="0"/>
    <x v="0"/>
    <x v="0"/>
    <x v="3"/>
    <x v="3"/>
    <x v="8"/>
    <x v="2"/>
  </r>
  <r>
    <s v="TX501517"/>
    <x v="9"/>
    <x v="9"/>
    <x v="775"/>
    <n v="175"/>
    <d v="2025-02-26T00:00:00"/>
    <d v="2025-02-28T00:00:00"/>
    <x v="1"/>
    <x v="0"/>
    <x v="0"/>
    <x v="0"/>
    <x v="3"/>
    <x v="1"/>
    <x v="8"/>
    <x v="1"/>
  </r>
  <r>
    <s v="TX501518"/>
    <x v="2"/>
    <x v="1"/>
    <x v="776"/>
    <n v="242"/>
    <d v="2025-02-26T00:00:00"/>
    <d v="2025-02-27T00:00:00"/>
    <x v="2"/>
    <x v="1"/>
    <x v="1"/>
    <x v="0"/>
    <x v="3"/>
    <x v="3"/>
    <x v="8"/>
    <x v="2"/>
  </r>
  <r>
    <s v="TX501519"/>
    <x v="6"/>
    <x v="2"/>
    <x v="146"/>
    <n v="195.29999999999998"/>
    <d v="2025-02-26T00:00:00"/>
    <d v="2025-03-02T00:00:00"/>
    <x v="1"/>
    <x v="2"/>
    <x v="0"/>
    <x v="0"/>
    <x v="36"/>
    <x v="5"/>
    <x v="8"/>
    <x v="1"/>
  </r>
  <r>
    <s v="TX501520"/>
    <x v="1"/>
    <x v="38"/>
    <x v="259"/>
    <n v="1339.8"/>
    <d v="2025-02-26T00:00:00"/>
    <d v="2025-02-28T00:00:00"/>
    <x v="2"/>
    <x v="0"/>
    <x v="0"/>
    <x v="0"/>
    <x v="8"/>
    <x v="1"/>
    <x v="8"/>
    <x v="2"/>
  </r>
  <r>
    <s v="TX501521"/>
    <x v="7"/>
    <x v="0"/>
    <x v="777"/>
    <n v="77.7"/>
    <d v="2025-02-26T00:00:00"/>
    <d v="2025-02-28T00:00:00"/>
    <x v="1"/>
    <x v="0"/>
    <x v="0"/>
    <x v="0"/>
    <x v="8"/>
    <x v="1"/>
    <x v="8"/>
    <x v="1"/>
  </r>
  <r>
    <s v="TX501522"/>
    <x v="5"/>
    <x v="12"/>
    <x v="322"/>
    <n v="241.2"/>
    <d v="2025-02-26T00:00:00"/>
    <d v="2025-02-26T00:00:00"/>
    <x v="1"/>
    <x v="0"/>
    <x v="2"/>
    <x v="0"/>
    <x v="8"/>
    <x v="7"/>
    <x v="8"/>
    <x v="1"/>
  </r>
  <r>
    <s v="TX501523"/>
    <x v="5"/>
    <x v="1"/>
    <x v="778"/>
    <n v="248.2"/>
    <d v="2025-02-26T00:00:00"/>
    <d v="2025-03-01T00:00:00"/>
    <x v="2"/>
    <x v="0"/>
    <x v="2"/>
    <x v="0"/>
    <x v="8"/>
    <x v="2"/>
    <x v="8"/>
    <x v="2"/>
  </r>
  <r>
    <s v="TX501524"/>
    <x v="16"/>
    <x v="3"/>
    <x v="779"/>
    <n v="462"/>
    <d v="2025-02-26T00:00:00"/>
    <d v="2025-02-26T00:00:00"/>
    <x v="0"/>
    <x v="3"/>
    <x v="0"/>
    <x v="0"/>
    <x v="17"/>
    <x v="7"/>
    <x v="8"/>
    <x v="0"/>
  </r>
  <r>
    <s v="TX501525"/>
    <x v="2"/>
    <x v="42"/>
    <x v="537"/>
    <n v="7446.6"/>
    <d v="2025-02-26T00:00:00"/>
    <d v="2025-03-03T00:00:00"/>
    <x v="0"/>
    <x v="0"/>
    <x v="0"/>
    <x v="0"/>
    <x v="17"/>
    <x v="0"/>
    <x v="8"/>
    <x v="0"/>
  </r>
  <r>
    <s v="TX501526"/>
    <x v="5"/>
    <x v="9"/>
    <x v="780"/>
    <n v="321.5"/>
    <d v="2025-02-26T00:00:00"/>
    <d v="2025-02-27T00:00:00"/>
    <x v="1"/>
    <x v="4"/>
    <x v="4"/>
    <x v="0"/>
    <x v="26"/>
    <x v="3"/>
    <x v="8"/>
    <x v="1"/>
  </r>
  <r>
    <s v="TX501527"/>
    <x v="1"/>
    <x v="1"/>
    <x v="76"/>
    <n v="109.6"/>
    <d v="2025-02-26T00:00:00"/>
    <d v="2025-02-26T00:00:00"/>
    <x v="1"/>
    <x v="0"/>
    <x v="1"/>
    <x v="0"/>
    <x v="26"/>
    <x v="7"/>
    <x v="8"/>
    <x v="1"/>
  </r>
  <r>
    <s v="TX501528"/>
    <x v="7"/>
    <x v="1"/>
    <x v="716"/>
    <n v="157.19999999999999"/>
    <d v="2025-02-26T00:00:00"/>
    <d v="2025-02-27T00:00:00"/>
    <x v="1"/>
    <x v="0"/>
    <x v="2"/>
    <x v="0"/>
    <x v="9"/>
    <x v="3"/>
    <x v="8"/>
    <x v="1"/>
  </r>
  <r>
    <s v="TX501529"/>
    <x v="2"/>
    <x v="9"/>
    <x v="781"/>
    <n v="792.5"/>
    <d v="2025-02-26T00:00:00"/>
    <d v="2025-02-28T00:00:00"/>
    <x v="0"/>
    <x v="2"/>
    <x v="2"/>
    <x v="0"/>
    <x v="9"/>
    <x v="1"/>
    <x v="8"/>
    <x v="0"/>
  </r>
  <r>
    <s v="TX501530"/>
    <x v="4"/>
    <x v="7"/>
    <x v="234"/>
    <n v="235"/>
    <d v="2025-02-26T00:00:00"/>
    <d v="2025-03-01T00:00:00"/>
    <x v="1"/>
    <x v="0"/>
    <x v="4"/>
    <x v="0"/>
    <x v="10"/>
    <x v="2"/>
    <x v="8"/>
    <x v="1"/>
  </r>
  <r>
    <s v="TX501531"/>
    <x v="5"/>
    <x v="1"/>
    <x v="201"/>
    <n v="64.2"/>
    <d v="2025-02-26T00:00:00"/>
    <d v="2025-02-28T00:00:00"/>
    <x v="0"/>
    <x v="3"/>
    <x v="0"/>
    <x v="0"/>
    <x v="10"/>
    <x v="1"/>
    <x v="8"/>
    <x v="0"/>
  </r>
  <r>
    <s v="TX501532"/>
    <x v="17"/>
    <x v="12"/>
    <x v="774"/>
    <n v="287.60000000000002"/>
    <d v="2025-02-26T00:00:00"/>
    <d v="2025-02-26T00:00:00"/>
    <x v="1"/>
    <x v="2"/>
    <x v="0"/>
    <x v="0"/>
    <x v="19"/>
    <x v="7"/>
    <x v="8"/>
    <x v="1"/>
  </r>
  <r>
    <s v="TX501533"/>
    <x v="4"/>
    <x v="13"/>
    <x v="208"/>
    <n v="133.80000000000001"/>
    <d v="2025-02-26T00:00:00"/>
    <d v="2025-02-27T00:00:00"/>
    <x v="0"/>
    <x v="3"/>
    <x v="2"/>
    <x v="0"/>
    <x v="13"/>
    <x v="3"/>
    <x v="8"/>
    <x v="0"/>
  </r>
  <r>
    <s v="TX501534"/>
    <x v="11"/>
    <x v="1"/>
    <x v="669"/>
    <n v="59"/>
    <d v="2025-02-26T00:00:00"/>
    <d v="2025-02-27T00:00:00"/>
    <x v="2"/>
    <x v="0"/>
    <x v="2"/>
    <x v="0"/>
    <x v="13"/>
    <x v="3"/>
    <x v="8"/>
    <x v="2"/>
  </r>
  <r>
    <s v="TX501535"/>
    <x v="6"/>
    <x v="12"/>
    <x v="245"/>
    <n v="167.6"/>
    <d v="2025-02-26T00:00:00"/>
    <d v="2025-03-02T00:00:00"/>
    <x v="2"/>
    <x v="0"/>
    <x v="1"/>
    <x v="0"/>
    <x v="21"/>
    <x v="5"/>
    <x v="8"/>
    <x v="2"/>
  </r>
  <r>
    <s v="TX501536"/>
    <x v="6"/>
    <x v="2"/>
    <x v="782"/>
    <n v="323.39999999999998"/>
    <d v="2025-02-26T00:00:00"/>
    <d v="2025-02-27T00:00:00"/>
    <x v="1"/>
    <x v="1"/>
    <x v="2"/>
    <x v="0"/>
    <x v="46"/>
    <x v="3"/>
    <x v="8"/>
    <x v="1"/>
  </r>
  <r>
    <s v="TX501537"/>
    <x v="4"/>
    <x v="9"/>
    <x v="606"/>
    <n v="90.5"/>
    <d v="2025-02-26T00:00:00"/>
    <d v="2025-03-01T00:00:00"/>
    <x v="1"/>
    <x v="0"/>
    <x v="2"/>
    <x v="0"/>
    <x v="2"/>
    <x v="2"/>
    <x v="8"/>
    <x v="1"/>
  </r>
  <r>
    <s v="TX501538"/>
    <x v="12"/>
    <x v="11"/>
    <x v="304"/>
    <n v="718.19999999999993"/>
    <d v="2025-02-26T00:00:00"/>
    <d v="2025-02-27T00:00:00"/>
    <x v="2"/>
    <x v="1"/>
    <x v="1"/>
    <x v="0"/>
    <x v="22"/>
    <x v="3"/>
    <x v="8"/>
    <x v="2"/>
  </r>
  <r>
    <s v="TX501539"/>
    <x v="0"/>
    <x v="2"/>
    <x v="208"/>
    <n v="66.900000000000006"/>
    <d v="2025-02-26T00:00:00"/>
    <d v="2025-03-01T00:00:00"/>
    <x v="2"/>
    <x v="0"/>
    <x v="2"/>
    <x v="0"/>
    <x v="22"/>
    <x v="2"/>
    <x v="8"/>
    <x v="2"/>
  </r>
  <r>
    <s v="TX501540"/>
    <x v="8"/>
    <x v="0"/>
    <x v="409"/>
    <n v="22.9"/>
    <d v="2025-02-26T00:00:00"/>
    <d v="2025-02-26T00:00:00"/>
    <x v="2"/>
    <x v="1"/>
    <x v="0"/>
    <x v="0"/>
    <x v="22"/>
    <x v="7"/>
    <x v="8"/>
    <x v="2"/>
  </r>
  <r>
    <s v="TX501541"/>
    <x v="0"/>
    <x v="2"/>
    <x v="261"/>
    <n v="48.599999999999994"/>
    <d v="2025-02-27T00:00:00"/>
    <d v="2025-02-27T00:00:00"/>
    <x v="1"/>
    <x v="4"/>
    <x v="2"/>
    <x v="0"/>
    <x v="3"/>
    <x v="7"/>
    <x v="8"/>
    <x v="1"/>
  </r>
  <r>
    <s v="TX501542"/>
    <x v="10"/>
    <x v="12"/>
    <x v="233"/>
    <n v="238"/>
    <d v="2025-02-27T00:00:00"/>
    <d v="2025-02-28T00:00:00"/>
    <x v="1"/>
    <x v="1"/>
    <x v="2"/>
    <x v="0"/>
    <x v="3"/>
    <x v="3"/>
    <x v="8"/>
    <x v="1"/>
  </r>
  <r>
    <s v="TX501543"/>
    <x v="18"/>
    <x v="9"/>
    <x v="457"/>
    <n v="131"/>
    <d v="2025-02-27T00:00:00"/>
    <d v="2025-03-02T00:00:00"/>
    <x v="1"/>
    <x v="3"/>
    <x v="4"/>
    <x v="0"/>
    <x v="3"/>
    <x v="2"/>
    <x v="8"/>
    <x v="1"/>
  </r>
  <r>
    <s v="TX501544"/>
    <x v="3"/>
    <x v="0"/>
    <x v="236"/>
    <n v="44.2"/>
    <d v="2025-02-27T00:00:00"/>
    <d v="2025-03-02T00:00:00"/>
    <x v="2"/>
    <x v="1"/>
    <x v="0"/>
    <x v="0"/>
    <x v="3"/>
    <x v="2"/>
    <x v="8"/>
    <x v="2"/>
  </r>
  <r>
    <s v="TX501545"/>
    <x v="9"/>
    <x v="1"/>
    <x v="737"/>
    <n v="118.4"/>
    <d v="2025-02-27T00:00:00"/>
    <d v="2025-02-27T00:00:00"/>
    <x v="2"/>
    <x v="1"/>
    <x v="4"/>
    <x v="0"/>
    <x v="3"/>
    <x v="7"/>
    <x v="8"/>
    <x v="2"/>
  </r>
  <r>
    <s v="TX501546"/>
    <x v="15"/>
    <x v="12"/>
    <x v="329"/>
    <n v="166"/>
    <d v="2025-02-27T00:00:00"/>
    <d v="2025-03-01T00:00:00"/>
    <x v="2"/>
    <x v="0"/>
    <x v="0"/>
    <x v="0"/>
    <x v="16"/>
    <x v="1"/>
    <x v="8"/>
    <x v="2"/>
  </r>
  <r>
    <s v="TX501547"/>
    <x v="6"/>
    <x v="4"/>
    <x v="783"/>
    <n v="805.19999999999993"/>
    <d v="2025-02-27T00:00:00"/>
    <d v="2025-03-13T00:00:00"/>
    <x v="2"/>
    <x v="0"/>
    <x v="2"/>
    <x v="0"/>
    <x v="23"/>
    <x v="12"/>
    <x v="8"/>
    <x v="2"/>
  </r>
  <r>
    <s v="TX501548"/>
    <x v="8"/>
    <x v="1"/>
    <x v="167"/>
    <n v="57.4"/>
    <d v="2025-02-27T00:00:00"/>
    <d v="2025-03-03T00:00:00"/>
    <x v="2"/>
    <x v="1"/>
    <x v="0"/>
    <x v="0"/>
    <x v="6"/>
    <x v="5"/>
    <x v="8"/>
    <x v="2"/>
  </r>
  <r>
    <s v="TX501549"/>
    <x v="2"/>
    <x v="12"/>
    <x v="784"/>
    <n v="528.4"/>
    <d v="2025-02-27T00:00:00"/>
    <d v="2025-02-28T00:00:00"/>
    <x v="2"/>
    <x v="0"/>
    <x v="1"/>
    <x v="0"/>
    <x v="6"/>
    <x v="3"/>
    <x v="8"/>
    <x v="2"/>
  </r>
  <r>
    <s v="TX501550"/>
    <x v="18"/>
    <x v="1"/>
    <x v="642"/>
    <n v="94"/>
    <d v="2025-02-27T00:00:00"/>
    <d v="2025-03-01T00:00:00"/>
    <x v="1"/>
    <x v="4"/>
    <x v="0"/>
    <x v="0"/>
    <x v="8"/>
    <x v="1"/>
    <x v="8"/>
    <x v="1"/>
  </r>
  <r>
    <s v="TX501551"/>
    <x v="8"/>
    <x v="1"/>
    <x v="654"/>
    <n v="83.2"/>
    <d v="2025-02-27T00:00:00"/>
    <d v="2025-03-03T00:00:00"/>
    <x v="1"/>
    <x v="1"/>
    <x v="2"/>
    <x v="0"/>
    <x v="8"/>
    <x v="5"/>
    <x v="8"/>
    <x v="1"/>
  </r>
  <r>
    <s v="TX501552"/>
    <x v="8"/>
    <x v="43"/>
    <x v="161"/>
    <n v="657.4"/>
    <d v="2025-02-27T00:00:00"/>
    <d v="2025-03-01T00:00:00"/>
    <x v="1"/>
    <x v="2"/>
    <x v="2"/>
    <x v="0"/>
    <x v="8"/>
    <x v="1"/>
    <x v="8"/>
    <x v="1"/>
  </r>
  <r>
    <s v="TX501553"/>
    <x v="13"/>
    <x v="2"/>
    <x v="80"/>
    <n v="125.39999999999999"/>
    <d v="2025-02-27T00:00:00"/>
    <d v="2025-03-02T00:00:00"/>
    <x v="1"/>
    <x v="0"/>
    <x v="2"/>
    <x v="0"/>
    <x v="8"/>
    <x v="2"/>
    <x v="8"/>
    <x v="1"/>
  </r>
  <r>
    <s v="TX501554"/>
    <x v="10"/>
    <x v="0"/>
    <x v="209"/>
    <n v="24"/>
    <d v="2025-02-27T00:00:00"/>
    <d v="2025-02-28T00:00:00"/>
    <x v="2"/>
    <x v="0"/>
    <x v="0"/>
    <x v="0"/>
    <x v="17"/>
    <x v="3"/>
    <x v="8"/>
    <x v="2"/>
  </r>
  <r>
    <s v="TX501555"/>
    <x v="14"/>
    <x v="11"/>
    <x v="99"/>
    <n v="166.5"/>
    <d v="2025-02-27T00:00:00"/>
    <d v="2025-03-01T00:00:00"/>
    <x v="2"/>
    <x v="0"/>
    <x v="0"/>
    <x v="0"/>
    <x v="9"/>
    <x v="1"/>
    <x v="8"/>
    <x v="2"/>
  </r>
  <r>
    <s v="TX501556"/>
    <x v="3"/>
    <x v="4"/>
    <x v="14"/>
    <n v="800.40000000000009"/>
    <d v="2025-02-27T00:00:00"/>
    <d v="2025-03-02T00:00:00"/>
    <x v="0"/>
    <x v="0"/>
    <x v="2"/>
    <x v="0"/>
    <x v="11"/>
    <x v="2"/>
    <x v="8"/>
    <x v="0"/>
  </r>
  <r>
    <s v="TX501557"/>
    <x v="1"/>
    <x v="12"/>
    <x v="199"/>
    <n v="132.4"/>
    <d v="2025-02-27T00:00:00"/>
    <d v="2025-03-04T00:00:00"/>
    <x v="1"/>
    <x v="3"/>
    <x v="0"/>
    <x v="0"/>
    <x v="11"/>
    <x v="0"/>
    <x v="8"/>
    <x v="1"/>
  </r>
  <r>
    <s v="TX501558"/>
    <x v="19"/>
    <x v="11"/>
    <x v="624"/>
    <n v="378.90000000000003"/>
    <d v="2025-02-27T00:00:00"/>
    <d v="2025-03-10T00:00:00"/>
    <x v="1"/>
    <x v="1"/>
    <x v="0"/>
    <x v="0"/>
    <x v="18"/>
    <x v="11"/>
    <x v="8"/>
    <x v="1"/>
  </r>
  <r>
    <s v="TX501559"/>
    <x v="18"/>
    <x v="3"/>
    <x v="785"/>
    <n v="410.90000000000003"/>
    <d v="2025-02-27T00:00:00"/>
    <d v="2025-02-27T00:00:00"/>
    <x v="3"/>
    <x v="3"/>
    <x v="0"/>
    <x v="0"/>
    <x v="31"/>
    <x v="7"/>
    <x v="8"/>
    <x v="3"/>
  </r>
  <r>
    <s v="TX501560"/>
    <x v="6"/>
    <x v="12"/>
    <x v="641"/>
    <n v="216"/>
    <d v="2025-02-27T00:00:00"/>
    <d v="2025-03-01T00:00:00"/>
    <x v="2"/>
    <x v="1"/>
    <x v="0"/>
    <x v="0"/>
    <x v="1"/>
    <x v="1"/>
    <x v="8"/>
    <x v="2"/>
  </r>
  <r>
    <s v="TX501561"/>
    <x v="8"/>
    <x v="0"/>
    <x v="184"/>
    <n v="52.1"/>
    <d v="2025-02-27T00:00:00"/>
    <d v="2025-02-28T00:00:00"/>
    <x v="2"/>
    <x v="2"/>
    <x v="2"/>
    <x v="0"/>
    <x v="2"/>
    <x v="3"/>
    <x v="8"/>
    <x v="2"/>
  </r>
  <r>
    <s v="TX501562"/>
    <x v="19"/>
    <x v="1"/>
    <x v="49"/>
    <n v="54"/>
    <d v="2025-02-27T00:00:00"/>
    <d v="2025-03-02T00:00:00"/>
    <x v="3"/>
    <x v="2"/>
    <x v="0"/>
    <x v="0"/>
    <x v="22"/>
    <x v="2"/>
    <x v="8"/>
    <x v="3"/>
  </r>
  <r>
    <s v="TX501563"/>
    <x v="12"/>
    <x v="7"/>
    <x v="452"/>
    <n v="310"/>
    <d v="2025-02-28T00:00:00"/>
    <d v="2025-03-01T00:00:00"/>
    <x v="2"/>
    <x v="3"/>
    <x v="2"/>
    <x v="0"/>
    <x v="22"/>
    <x v="3"/>
    <x v="8"/>
    <x v="2"/>
  </r>
  <r>
    <s v="TX501564"/>
    <x v="10"/>
    <x v="1"/>
    <x v="21"/>
    <n v="93.4"/>
    <d v="2025-02-28T00:00:00"/>
    <d v="2025-02-28T00:00:00"/>
    <x v="2"/>
    <x v="0"/>
    <x v="0"/>
    <x v="0"/>
    <x v="34"/>
    <x v="7"/>
    <x v="8"/>
    <x v="2"/>
  </r>
  <r>
    <s v="TX501565"/>
    <x v="6"/>
    <x v="0"/>
    <x v="786"/>
    <n v="144.69999999999999"/>
    <d v="2025-02-28T00:00:00"/>
    <d v="2025-03-03T00:00:00"/>
    <x v="1"/>
    <x v="0"/>
    <x v="2"/>
    <x v="0"/>
    <x v="3"/>
    <x v="2"/>
    <x v="8"/>
    <x v="1"/>
  </r>
  <r>
    <s v="TX501566"/>
    <x v="2"/>
    <x v="11"/>
    <x v="238"/>
    <n v="818.1"/>
    <d v="2025-02-28T00:00:00"/>
    <d v="2025-03-01T00:00:00"/>
    <x v="1"/>
    <x v="0"/>
    <x v="2"/>
    <x v="0"/>
    <x v="3"/>
    <x v="3"/>
    <x v="8"/>
    <x v="1"/>
  </r>
  <r>
    <s v="TX501567"/>
    <x v="1"/>
    <x v="1"/>
    <x v="124"/>
    <n v="151.6"/>
    <d v="2025-02-28T00:00:00"/>
    <d v="2025-03-01T00:00:00"/>
    <x v="2"/>
    <x v="2"/>
    <x v="1"/>
    <x v="0"/>
    <x v="3"/>
    <x v="3"/>
    <x v="8"/>
    <x v="2"/>
  </r>
  <r>
    <s v="TX501568"/>
    <x v="7"/>
    <x v="9"/>
    <x v="787"/>
    <n v="289.5"/>
    <d v="2025-02-28T00:00:00"/>
    <d v="2025-03-02T00:00:00"/>
    <x v="1"/>
    <x v="2"/>
    <x v="2"/>
    <x v="0"/>
    <x v="3"/>
    <x v="1"/>
    <x v="8"/>
    <x v="1"/>
  </r>
  <r>
    <s v="TX501569"/>
    <x v="8"/>
    <x v="9"/>
    <x v="788"/>
    <n v="224"/>
    <d v="2025-02-28T00:00:00"/>
    <d v="2025-03-01T00:00:00"/>
    <x v="2"/>
    <x v="3"/>
    <x v="2"/>
    <x v="0"/>
    <x v="3"/>
    <x v="3"/>
    <x v="8"/>
    <x v="2"/>
  </r>
  <r>
    <s v="TX501570"/>
    <x v="9"/>
    <x v="2"/>
    <x v="236"/>
    <n v="132.60000000000002"/>
    <d v="2025-02-28T00:00:00"/>
    <d v="2025-03-04T00:00:00"/>
    <x v="1"/>
    <x v="2"/>
    <x v="2"/>
    <x v="0"/>
    <x v="3"/>
    <x v="5"/>
    <x v="8"/>
    <x v="1"/>
  </r>
  <r>
    <s v="TX501571"/>
    <x v="5"/>
    <x v="9"/>
    <x v="789"/>
    <n v="267.5"/>
    <d v="2025-02-28T00:00:00"/>
    <d v="2025-03-02T00:00:00"/>
    <x v="1"/>
    <x v="0"/>
    <x v="0"/>
    <x v="0"/>
    <x v="37"/>
    <x v="1"/>
    <x v="8"/>
    <x v="1"/>
  </r>
  <r>
    <s v="TX501572"/>
    <x v="6"/>
    <x v="1"/>
    <x v="489"/>
    <n v="144.4"/>
    <d v="2025-02-28T00:00:00"/>
    <d v="2025-03-01T00:00:00"/>
    <x v="1"/>
    <x v="0"/>
    <x v="2"/>
    <x v="0"/>
    <x v="25"/>
    <x v="3"/>
    <x v="8"/>
    <x v="1"/>
  </r>
  <r>
    <s v="TX501573"/>
    <x v="6"/>
    <x v="12"/>
    <x v="470"/>
    <n v="249.6"/>
    <d v="2025-02-28T00:00:00"/>
    <d v="2025-03-03T00:00:00"/>
    <x v="2"/>
    <x v="0"/>
    <x v="1"/>
    <x v="0"/>
    <x v="23"/>
    <x v="2"/>
    <x v="8"/>
    <x v="2"/>
  </r>
  <r>
    <s v="TX501574"/>
    <x v="10"/>
    <x v="9"/>
    <x v="605"/>
    <n v="123.5"/>
    <d v="2025-02-28T00:00:00"/>
    <d v="2025-03-01T00:00:00"/>
    <x v="2"/>
    <x v="0"/>
    <x v="0"/>
    <x v="0"/>
    <x v="6"/>
    <x v="3"/>
    <x v="8"/>
    <x v="2"/>
  </r>
  <r>
    <s v="TX501575"/>
    <x v="1"/>
    <x v="9"/>
    <x v="227"/>
    <n v="308.5"/>
    <d v="2025-02-28T00:00:00"/>
    <d v="2025-03-02T00:00:00"/>
    <x v="2"/>
    <x v="2"/>
    <x v="0"/>
    <x v="0"/>
    <x v="8"/>
    <x v="1"/>
    <x v="8"/>
    <x v="2"/>
  </r>
  <r>
    <s v="TX501576"/>
    <x v="8"/>
    <x v="9"/>
    <x v="762"/>
    <n v="91"/>
    <d v="2025-02-28T00:00:00"/>
    <d v="2025-03-02T00:00:00"/>
    <x v="2"/>
    <x v="3"/>
    <x v="0"/>
    <x v="0"/>
    <x v="8"/>
    <x v="1"/>
    <x v="8"/>
    <x v="2"/>
  </r>
  <r>
    <s v="TX501577"/>
    <x v="10"/>
    <x v="12"/>
    <x v="790"/>
    <n v="148.80000000000001"/>
    <d v="2025-02-28T00:00:00"/>
    <d v="2025-03-06T00:00:00"/>
    <x v="2"/>
    <x v="0"/>
    <x v="0"/>
    <x v="0"/>
    <x v="8"/>
    <x v="4"/>
    <x v="8"/>
    <x v="2"/>
  </r>
  <r>
    <s v="TX501578"/>
    <x v="9"/>
    <x v="2"/>
    <x v="789"/>
    <n v="160.5"/>
    <d v="2025-02-28T00:00:00"/>
    <d v="2025-03-02T00:00:00"/>
    <x v="2"/>
    <x v="1"/>
    <x v="2"/>
    <x v="0"/>
    <x v="9"/>
    <x v="1"/>
    <x v="8"/>
    <x v="2"/>
  </r>
  <r>
    <s v="TX501579"/>
    <x v="8"/>
    <x v="2"/>
    <x v="458"/>
    <n v="130.80000000000001"/>
    <d v="2025-02-28T00:00:00"/>
    <d v="2025-02-28T00:00:00"/>
    <x v="2"/>
    <x v="0"/>
    <x v="0"/>
    <x v="0"/>
    <x v="9"/>
    <x v="7"/>
    <x v="8"/>
    <x v="2"/>
  </r>
  <r>
    <s v="TX501580"/>
    <x v="1"/>
    <x v="7"/>
    <x v="637"/>
    <n v="1350"/>
    <d v="2025-02-28T00:00:00"/>
    <d v="2025-03-02T00:00:00"/>
    <x v="2"/>
    <x v="0"/>
    <x v="2"/>
    <x v="0"/>
    <x v="9"/>
    <x v="1"/>
    <x v="8"/>
    <x v="2"/>
  </r>
  <r>
    <s v="TX501581"/>
    <x v="8"/>
    <x v="9"/>
    <x v="153"/>
    <n v="192.5"/>
    <d v="2025-02-28T00:00:00"/>
    <d v="2025-02-28T00:00:00"/>
    <x v="1"/>
    <x v="4"/>
    <x v="2"/>
    <x v="0"/>
    <x v="10"/>
    <x v="7"/>
    <x v="8"/>
    <x v="1"/>
  </r>
  <r>
    <s v="TX501582"/>
    <x v="9"/>
    <x v="1"/>
    <x v="209"/>
    <n v="48"/>
    <d v="2025-02-28T00:00:00"/>
    <d v="2025-03-05T00:00:00"/>
    <x v="2"/>
    <x v="0"/>
    <x v="0"/>
    <x v="0"/>
    <x v="11"/>
    <x v="0"/>
    <x v="8"/>
    <x v="2"/>
  </r>
  <r>
    <s v="TX501583"/>
    <x v="4"/>
    <x v="2"/>
    <x v="742"/>
    <n v="84.6"/>
    <d v="2025-02-28T00:00:00"/>
    <d v="2025-03-02T00:00:00"/>
    <x v="1"/>
    <x v="0"/>
    <x v="3"/>
    <x v="0"/>
    <x v="18"/>
    <x v="1"/>
    <x v="8"/>
    <x v="1"/>
  </r>
  <r>
    <s v="TX501584"/>
    <x v="7"/>
    <x v="2"/>
    <x v="484"/>
    <n v="112.19999999999999"/>
    <d v="2025-02-28T00:00:00"/>
    <d v="2025-03-01T00:00:00"/>
    <x v="2"/>
    <x v="3"/>
    <x v="0"/>
    <x v="0"/>
    <x v="1"/>
    <x v="3"/>
    <x v="8"/>
    <x v="2"/>
  </r>
  <r>
    <s v="TX501585"/>
    <x v="6"/>
    <x v="2"/>
    <x v="789"/>
    <n v="160.5"/>
    <d v="2025-02-28T00:00:00"/>
    <d v="2025-03-03T00:00:00"/>
    <x v="0"/>
    <x v="4"/>
    <x v="4"/>
    <x v="0"/>
    <x v="1"/>
    <x v="2"/>
    <x v="8"/>
    <x v="0"/>
  </r>
  <r>
    <s v="TX501586"/>
    <x v="11"/>
    <x v="9"/>
    <x v="310"/>
    <n v="181"/>
    <d v="2025-02-28T00:00:00"/>
    <d v="2025-03-01T00:00:00"/>
    <x v="1"/>
    <x v="1"/>
    <x v="2"/>
    <x v="0"/>
    <x v="33"/>
    <x v="3"/>
    <x v="8"/>
    <x v="1"/>
  </r>
  <r>
    <s v="TX501587"/>
    <x v="0"/>
    <x v="8"/>
    <x v="590"/>
    <n v="255.2"/>
    <d v="2025-02-28T00:00:00"/>
    <d v="2025-03-01T00:00:00"/>
    <x v="2"/>
    <x v="4"/>
    <x v="0"/>
    <x v="0"/>
    <x v="3"/>
    <x v="3"/>
    <x v="8"/>
    <x v="2"/>
  </r>
  <r>
    <s v="TX501588"/>
    <x v="8"/>
    <x v="2"/>
    <x v="210"/>
    <n v="63.900000000000006"/>
    <d v="2025-02-28T00:00:00"/>
    <d v="2025-03-01T00:00:00"/>
    <x v="1"/>
    <x v="0"/>
    <x v="2"/>
    <x v="0"/>
    <x v="3"/>
    <x v="3"/>
    <x v="8"/>
    <x v="1"/>
  </r>
  <r>
    <s v="TX501589"/>
    <x v="8"/>
    <x v="0"/>
    <x v="791"/>
    <n v="36.299999999999997"/>
    <d v="2025-02-28T00:00:00"/>
    <d v="2025-03-02T00:00:00"/>
    <x v="3"/>
    <x v="4"/>
    <x v="0"/>
    <x v="0"/>
    <x v="3"/>
    <x v="1"/>
    <x v="8"/>
    <x v="3"/>
  </r>
  <r>
    <s v="TX501590"/>
    <x v="6"/>
    <x v="2"/>
    <x v="792"/>
    <n v="331.5"/>
    <d v="2025-02-28T00:00:00"/>
    <d v="2025-03-01T00:00:00"/>
    <x v="2"/>
    <x v="0"/>
    <x v="3"/>
    <x v="0"/>
    <x v="3"/>
    <x v="3"/>
    <x v="8"/>
    <x v="2"/>
  </r>
  <r>
    <s v="TX501591"/>
    <x v="10"/>
    <x v="3"/>
    <x v="101"/>
    <n v="228.20000000000002"/>
    <d v="2025-02-28T00:00:00"/>
    <d v="2025-03-02T00:00:00"/>
    <x v="2"/>
    <x v="0"/>
    <x v="1"/>
    <x v="0"/>
    <x v="3"/>
    <x v="1"/>
    <x v="8"/>
    <x v="2"/>
  </r>
  <r>
    <s v="TX501592"/>
    <x v="5"/>
    <x v="2"/>
    <x v="495"/>
    <n v="166.8"/>
    <d v="2025-03-01T00:00:00"/>
    <d v="2025-03-14T00:00:00"/>
    <x v="2"/>
    <x v="0"/>
    <x v="0"/>
    <x v="0"/>
    <x v="3"/>
    <x v="10"/>
    <x v="8"/>
    <x v="2"/>
  </r>
  <r>
    <s v="TX501593"/>
    <x v="1"/>
    <x v="12"/>
    <x v="545"/>
    <n v="152"/>
    <d v="2025-03-01T00:00:00"/>
    <d v="2025-03-02T00:00:00"/>
    <x v="2"/>
    <x v="3"/>
    <x v="2"/>
    <x v="0"/>
    <x v="5"/>
    <x v="3"/>
    <x v="8"/>
    <x v="2"/>
  </r>
  <r>
    <s v="TX501594"/>
    <x v="10"/>
    <x v="1"/>
    <x v="147"/>
    <n v="103.6"/>
    <d v="2025-03-01T00:00:00"/>
    <d v="2025-03-07T00:00:00"/>
    <x v="1"/>
    <x v="1"/>
    <x v="4"/>
    <x v="0"/>
    <x v="6"/>
    <x v="4"/>
    <x v="8"/>
    <x v="1"/>
  </r>
  <r>
    <s v="TX501595"/>
    <x v="11"/>
    <x v="8"/>
    <x v="167"/>
    <n v="229.6"/>
    <d v="2025-03-01T00:00:00"/>
    <d v="2025-03-06T00:00:00"/>
    <x v="2"/>
    <x v="0"/>
    <x v="0"/>
    <x v="0"/>
    <x v="6"/>
    <x v="0"/>
    <x v="8"/>
    <x v="2"/>
  </r>
  <r>
    <s v="TX501596"/>
    <x v="6"/>
    <x v="4"/>
    <x v="793"/>
    <n v="626.40000000000009"/>
    <d v="2025-03-01T00:00:00"/>
    <d v="2025-03-01T00:00:00"/>
    <x v="1"/>
    <x v="0"/>
    <x v="1"/>
    <x v="0"/>
    <x v="6"/>
    <x v="7"/>
    <x v="8"/>
    <x v="1"/>
  </r>
  <r>
    <s v="TX501597"/>
    <x v="1"/>
    <x v="1"/>
    <x v="197"/>
    <n v="136.4"/>
    <d v="2025-03-01T00:00:00"/>
    <d v="2025-03-02T00:00:00"/>
    <x v="0"/>
    <x v="2"/>
    <x v="0"/>
    <x v="0"/>
    <x v="7"/>
    <x v="3"/>
    <x v="8"/>
    <x v="0"/>
  </r>
  <r>
    <s v="TX501598"/>
    <x v="0"/>
    <x v="2"/>
    <x v="324"/>
    <n v="102"/>
    <d v="2025-03-01T00:00:00"/>
    <d v="2025-03-05T00:00:00"/>
    <x v="2"/>
    <x v="0"/>
    <x v="0"/>
    <x v="0"/>
    <x v="8"/>
    <x v="5"/>
    <x v="8"/>
    <x v="2"/>
  </r>
  <r>
    <s v="TX501599"/>
    <x v="8"/>
    <x v="2"/>
    <x v="30"/>
    <n v="57.300000000000004"/>
    <d v="2025-03-01T00:00:00"/>
    <d v="2025-03-02T00:00:00"/>
    <x v="2"/>
    <x v="4"/>
    <x v="0"/>
    <x v="0"/>
    <x v="8"/>
    <x v="3"/>
    <x v="8"/>
    <x v="2"/>
  </r>
  <r>
    <s v="TX501600"/>
    <x v="5"/>
    <x v="8"/>
    <x v="324"/>
    <n v="272"/>
    <d v="2025-03-01T00:00:00"/>
    <d v="2025-03-09T00:00:00"/>
    <x v="2"/>
    <x v="4"/>
    <x v="0"/>
    <x v="0"/>
    <x v="8"/>
    <x v="9"/>
    <x v="8"/>
    <x v="2"/>
  </r>
  <r>
    <s v="TX501601"/>
    <x v="12"/>
    <x v="1"/>
    <x v="189"/>
    <n v="218.2"/>
    <d v="2025-03-01T00:00:00"/>
    <d v="2025-03-03T00:00:00"/>
    <x v="1"/>
    <x v="0"/>
    <x v="2"/>
    <x v="0"/>
    <x v="8"/>
    <x v="1"/>
    <x v="8"/>
    <x v="1"/>
  </r>
  <r>
    <s v="TX501602"/>
    <x v="18"/>
    <x v="1"/>
    <x v="497"/>
    <n v="129.6"/>
    <d v="2025-03-01T00:00:00"/>
    <d v="2025-03-03T00:00:00"/>
    <x v="1"/>
    <x v="0"/>
    <x v="2"/>
    <x v="0"/>
    <x v="8"/>
    <x v="1"/>
    <x v="8"/>
    <x v="1"/>
  </r>
  <r>
    <s v="TX501603"/>
    <x v="10"/>
    <x v="1"/>
    <x v="438"/>
    <n v="42.2"/>
    <d v="2025-03-01T00:00:00"/>
    <d v="2025-03-01T00:00:00"/>
    <x v="2"/>
    <x v="1"/>
    <x v="0"/>
    <x v="0"/>
    <x v="11"/>
    <x v="7"/>
    <x v="8"/>
    <x v="2"/>
  </r>
  <r>
    <s v="TX501604"/>
    <x v="0"/>
    <x v="8"/>
    <x v="210"/>
    <n v="170.4"/>
    <d v="2025-03-01T00:00:00"/>
    <d v="2025-03-03T00:00:00"/>
    <x v="1"/>
    <x v="3"/>
    <x v="1"/>
    <x v="0"/>
    <x v="18"/>
    <x v="1"/>
    <x v="8"/>
    <x v="1"/>
  </r>
  <r>
    <s v="TX501605"/>
    <x v="9"/>
    <x v="2"/>
    <x v="51"/>
    <n v="72.900000000000006"/>
    <d v="2025-03-01T00:00:00"/>
    <d v="2025-03-02T00:00:00"/>
    <x v="1"/>
    <x v="1"/>
    <x v="0"/>
    <x v="0"/>
    <x v="19"/>
    <x v="3"/>
    <x v="8"/>
    <x v="1"/>
  </r>
  <r>
    <s v="TX501606"/>
    <x v="8"/>
    <x v="0"/>
    <x v="705"/>
    <n v="43.3"/>
    <d v="2025-03-01T00:00:00"/>
    <d v="2025-03-05T00:00:00"/>
    <x v="1"/>
    <x v="1"/>
    <x v="1"/>
    <x v="0"/>
    <x v="13"/>
    <x v="5"/>
    <x v="8"/>
    <x v="1"/>
  </r>
  <r>
    <s v="TX501607"/>
    <x v="9"/>
    <x v="2"/>
    <x v="29"/>
    <n v="123"/>
    <d v="2025-03-01T00:00:00"/>
    <d v="2025-03-02T00:00:00"/>
    <x v="2"/>
    <x v="3"/>
    <x v="4"/>
    <x v="0"/>
    <x v="21"/>
    <x v="3"/>
    <x v="8"/>
    <x v="2"/>
  </r>
  <r>
    <s v="TX501608"/>
    <x v="16"/>
    <x v="2"/>
    <x v="715"/>
    <n v="162.30000000000001"/>
    <d v="2025-03-01T00:00:00"/>
    <d v="2025-03-03T00:00:00"/>
    <x v="2"/>
    <x v="4"/>
    <x v="0"/>
    <x v="0"/>
    <x v="21"/>
    <x v="1"/>
    <x v="8"/>
    <x v="2"/>
  </r>
  <r>
    <s v="TX501609"/>
    <x v="11"/>
    <x v="1"/>
    <x v="37"/>
    <n v="78"/>
    <d v="2025-03-01T00:00:00"/>
    <d v="2025-03-02T00:00:00"/>
    <x v="1"/>
    <x v="1"/>
    <x v="2"/>
    <x v="0"/>
    <x v="1"/>
    <x v="3"/>
    <x v="8"/>
    <x v="1"/>
  </r>
  <r>
    <s v="TX501610"/>
    <x v="8"/>
    <x v="1"/>
    <x v="7"/>
    <n v="80.599999999999994"/>
    <d v="2025-03-01T00:00:00"/>
    <d v="2025-03-03T00:00:00"/>
    <x v="1"/>
    <x v="3"/>
    <x v="0"/>
    <x v="0"/>
    <x v="27"/>
    <x v="1"/>
    <x v="8"/>
    <x v="1"/>
  </r>
  <r>
    <s v="TX501611"/>
    <x v="8"/>
    <x v="2"/>
    <x v="661"/>
    <n v="72.300000000000011"/>
    <d v="2025-03-01T00:00:00"/>
    <d v="2025-03-02T00:00:00"/>
    <x v="1"/>
    <x v="0"/>
    <x v="2"/>
    <x v="0"/>
    <x v="34"/>
    <x v="3"/>
    <x v="8"/>
    <x v="1"/>
  </r>
  <r>
    <s v="TX501612"/>
    <x v="6"/>
    <x v="9"/>
    <x v="574"/>
    <n v="261.5"/>
    <d v="2025-03-01T00:00:00"/>
    <d v="2025-03-02T00:00:00"/>
    <x v="1"/>
    <x v="2"/>
    <x v="0"/>
    <x v="0"/>
    <x v="3"/>
    <x v="3"/>
    <x v="8"/>
    <x v="1"/>
  </r>
  <r>
    <s v="TX501613"/>
    <x v="12"/>
    <x v="12"/>
    <x v="794"/>
    <n v="275.2"/>
    <d v="2025-03-01T00:00:00"/>
    <d v="2025-03-05T00:00:00"/>
    <x v="2"/>
    <x v="4"/>
    <x v="2"/>
    <x v="0"/>
    <x v="3"/>
    <x v="5"/>
    <x v="8"/>
    <x v="2"/>
  </r>
  <r>
    <s v="TX501614"/>
    <x v="2"/>
    <x v="1"/>
    <x v="795"/>
    <n v="257.60000000000002"/>
    <d v="2025-03-02T00:00:00"/>
    <d v="2025-03-05T00:00:00"/>
    <x v="2"/>
    <x v="1"/>
    <x v="1"/>
    <x v="0"/>
    <x v="3"/>
    <x v="2"/>
    <x v="9"/>
    <x v="2"/>
  </r>
  <r>
    <s v="TX501615"/>
    <x v="15"/>
    <x v="9"/>
    <x v="297"/>
    <n v="241"/>
    <d v="2025-03-02T00:00:00"/>
    <d v="2025-03-04T00:00:00"/>
    <x v="2"/>
    <x v="3"/>
    <x v="0"/>
    <x v="0"/>
    <x v="3"/>
    <x v="1"/>
    <x v="9"/>
    <x v="2"/>
  </r>
  <r>
    <s v="TX501616"/>
    <x v="10"/>
    <x v="0"/>
    <x v="138"/>
    <n v="39.700000000000003"/>
    <d v="2025-03-02T00:00:00"/>
    <d v="2025-03-04T00:00:00"/>
    <x v="2"/>
    <x v="0"/>
    <x v="1"/>
    <x v="0"/>
    <x v="3"/>
    <x v="1"/>
    <x v="9"/>
    <x v="2"/>
  </r>
  <r>
    <s v="TX501617"/>
    <x v="9"/>
    <x v="0"/>
    <x v="115"/>
    <n v="59.7"/>
    <d v="2025-03-02T00:00:00"/>
    <d v="2025-03-05T00:00:00"/>
    <x v="2"/>
    <x v="4"/>
    <x v="0"/>
    <x v="0"/>
    <x v="3"/>
    <x v="2"/>
    <x v="9"/>
    <x v="2"/>
  </r>
  <r>
    <s v="TX501618"/>
    <x v="6"/>
    <x v="0"/>
    <x v="591"/>
    <n v="48.3"/>
    <d v="2025-03-02T00:00:00"/>
    <d v="2025-03-16T00:00:00"/>
    <x v="3"/>
    <x v="0"/>
    <x v="2"/>
    <x v="0"/>
    <x v="3"/>
    <x v="12"/>
    <x v="9"/>
    <x v="3"/>
  </r>
  <r>
    <s v="TX501619"/>
    <x v="8"/>
    <x v="2"/>
    <x v="600"/>
    <n v="136.5"/>
    <d v="2025-03-02T00:00:00"/>
    <d v="2025-03-04T00:00:00"/>
    <x v="1"/>
    <x v="2"/>
    <x v="1"/>
    <x v="0"/>
    <x v="3"/>
    <x v="1"/>
    <x v="9"/>
    <x v="1"/>
  </r>
  <r>
    <s v="TX501620"/>
    <x v="9"/>
    <x v="6"/>
    <x v="707"/>
    <n v="1377"/>
    <d v="2025-03-02T00:00:00"/>
    <d v="2025-03-02T00:00:00"/>
    <x v="2"/>
    <x v="2"/>
    <x v="0"/>
    <x v="0"/>
    <x v="3"/>
    <x v="7"/>
    <x v="9"/>
    <x v="2"/>
  </r>
  <r>
    <s v="TX501621"/>
    <x v="4"/>
    <x v="13"/>
    <x v="293"/>
    <n v="122.39999999999999"/>
    <d v="2025-03-02T00:00:00"/>
    <d v="2025-03-03T00:00:00"/>
    <x v="1"/>
    <x v="2"/>
    <x v="0"/>
    <x v="0"/>
    <x v="3"/>
    <x v="3"/>
    <x v="9"/>
    <x v="1"/>
  </r>
  <r>
    <s v="TX501622"/>
    <x v="10"/>
    <x v="1"/>
    <x v="248"/>
    <n v="60.8"/>
    <d v="2025-03-02T00:00:00"/>
    <d v="2025-03-04T00:00:00"/>
    <x v="1"/>
    <x v="2"/>
    <x v="0"/>
    <x v="0"/>
    <x v="3"/>
    <x v="1"/>
    <x v="9"/>
    <x v="1"/>
  </r>
  <r>
    <s v="TX501623"/>
    <x v="7"/>
    <x v="1"/>
    <x v="674"/>
    <n v="143"/>
    <d v="2025-03-02T00:00:00"/>
    <d v="2025-03-06T00:00:00"/>
    <x v="2"/>
    <x v="0"/>
    <x v="0"/>
    <x v="0"/>
    <x v="3"/>
    <x v="5"/>
    <x v="9"/>
    <x v="2"/>
  </r>
  <r>
    <s v="TX501624"/>
    <x v="8"/>
    <x v="13"/>
    <x v="53"/>
    <n v="108"/>
    <d v="2025-03-02T00:00:00"/>
    <d v="2025-03-03T00:00:00"/>
    <x v="3"/>
    <x v="1"/>
    <x v="2"/>
    <x v="0"/>
    <x v="6"/>
    <x v="3"/>
    <x v="9"/>
    <x v="3"/>
  </r>
  <r>
    <s v="TX501625"/>
    <x v="15"/>
    <x v="5"/>
    <x v="357"/>
    <n v="501.6"/>
    <d v="2025-03-02T00:00:00"/>
    <d v="2025-03-03T00:00:00"/>
    <x v="3"/>
    <x v="1"/>
    <x v="1"/>
    <x v="0"/>
    <x v="7"/>
    <x v="3"/>
    <x v="9"/>
    <x v="3"/>
  </r>
  <r>
    <s v="TX501626"/>
    <x v="9"/>
    <x v="0"/>
    <x v="216"/>
    <n v="31.8"/>
    <d v="2025-03-02T00:00:00"/>
    <d v="2025-03-06T00:00:00"/>
    <x v="2"/>
    <x v="0"/>
    <x v="2"/>
    <x v="0"/>
    <x v="7"/>
    <x v="5"/>
    <x v="9"/>
    <x v="2"/>
  </r>
  <r>
    <s v="TX501627"/>
    <x v="8"/>
    <x v="9"/>
    <x v="157"/>
    <n v="99.5"/>
    <d v="2025-03-02T00:00:00"/>
    <d v="2025-03-03T00:00:00"/>
    <x v="2"/>
    <x v="1"/>
    <x v="0"/>
    <x v="0"/>
    <x v="7"/>
    <x v="3"/>
    <x v="9"/>
    <x v="2"/>
  </r>
  <r>
    <s v="TX501628"/>
    <x v="12"/>
    <x v="11"/>
    <x v="184"/>
    <n v="468.90000000000003"/>
    <d v="2025-03-02T00:00:00"/>
    <d v="2025-03-04T00:00:00"/>
    <x v="1"/>
    <x v="0"/>
    <x v="0"/>
    <x v="0"/>
    <x v="8"/>
    <x v="1"/>
    <x v="9"/>
    <x v="1"/>
  </r>
  <r>
    <s v="TX501629"/>
    <x v="1"/>
    <x v="3"/>
    <x v="206"/>
    <n v="321.3"/>
    <d v="2025-03-02T00:00:00"/>
    <d v="2025-03-03T00:00:00"/>
    <x v="1"/>
    <x v="0"/>
    <x v="1"/>
    <x v="0"/>
    <x v="8"/>
    <x v="3"/>
    <x v="9"/>
    <x v="1"/>
  </r>
  <r>
    <s v="TX501630"/>
    <x v="1"/>
    <x v="7"/>
    <x v="796"/>
    <n v="1159"/>
    <d v="2025-03-02T00:00:00"/>
    <d v="2025-03-05T00:00:00"/>
    <x v="2"/>
    <x v="1"/>
    <x v="0"/>
    <x v="0"/>
    <x v="8"/>
    <x v="2"/>
    <x v="9"/>
    <x v="2"/>
  </r>
  <r>
    <s v="TX501631"/>
    <x v="6"/>
    <x v="11"/>
    <x v="797"/>
    <n v="774"/>
    <d v="2025-03-02T00:00:00"/>
    <d v="2025-03-07T00:00:00"/>
    <x v="2"/>
    <x v="0"/>
    <x v="1"/>
    <x v="0"/>
    <x v="8"/>
    <x v="0"/>
    <x v="9"/>
    <x v="2"/>
  </r>
  <r>
    <s v="TX501632"/>
    <x v="7"/>
    <x v="3"/>
    <x v="508"/>
    <n v="515.19999999999993"/>
    <d v="2025-03-02T00:00:00"/>
    <d v="2025-03-04T00:00:00"/>
    <x v="2"/>
    <x v="0"/>
    <x v="0"/>
    <x v="0"/>
    <x v="17"/>
    <x v="1"/>
    <x v="9"/>
    <x v="2"/>
  </r>
  <r>
    <s v="TX501633"/>
    <x v="10"/>
    <x v="2"/>
    <x v="494"/>
    <n v="80.099999999999994"/>
    <d v="2025-03-02T00:00:00"/>
    <d v="2025-03-06T00:00:00"/>
    <x v="2"/>
    <x v="0"/>
    <x v="0"/>
    <x v="0"/>
    <x v="11"/>
    <x v="5"/>
    <x v="9"/>
    <x v="2"/>
  </r>
  <r>
    <s v="TX501634"/>
    <x v="8"/>
    <x v="3"/>
    <x v="594"/>
    <n v="326.2"/>
    <d v="2025-03-02T00:00:00"/>
    <d v="2025-03-04T00:00:00"/>
    <x v="0"/>
    <x v="3"/>
    <x v="0"/>
    <x v="0"/>
    <x v="11"/>
    <x v="1"/>
    <x v="9"/>
    <x v="0"/>
  </r>
  <r>
    <s v="TX501635"/>
    <x v="3"/>
    <x v="2"/>
    <x v="798"/>
    <n v="253.79999999999998"/>
    <d v="2025-03-02T00:00:00"/>
    <d v="2025-03-04T00:00:00"/>
    <x v="1"/>
    <x v="4"/>
    <x v="0"/>
    <x v="0"/>
    <x v="11"/>
    <x v="1"/>
    <x v="9"/>
    <x v="1"/>
  </r>
  <r>
    <s v="TX501636"/>
    <x v="7"/>
    <x v="21"/>
    <x v="329"/>
    <n v="581"/>
    <d v="2025-03-02T00:00:00"/>
    <d v="2025-03-16T00:00:00"/>
    <x v="1"/>
    <x v="1"/>
    <x v="0"/>
    <x v="0"/>
    <x v="53"/>
    <x v="12"/>
    <x v="9"/>
    <x v="1"/>
  </r>
  <r>
    <s v="TX501637"/>
    <x v="8"/>
    <x v="0"/>
    <x v="413"/>
    <n v="32.799999999999997"/>
    <d v="2025-03-02T00:00:00"/>
    <d v="2025-03-05T00:00:00"/>
    <x v="1"/>
    <x v="0"/>
    <x v="2"/>
    <x v="0"/>
    <x v="30"/>
    <x v="2"/>
    <x v="9"/>
    <x v="1"/>
  </r>
  <r>
    <s v="TX501638"/>
    <x v="4"/>
    <x v="3"/>
    <x v="21"/>
    <n v="326.90000000000003"/>
    <d v="2025-03-02T00:00:00"/>
    <d v="2025-03-04T00:00:00"/>
    <x v="3"/>
    <x v="0"/>
    <x v="2"/>
    <x v="0"/>
    <x v="18"/>
    <x v="1"/>
    <x v="9"/>
    <x v="3"/>
  </r>
  <r>
    <s v="TX501639"/>
    <x v="15"/>
    <x v="3"/>
    <x v="65"/>
    <n v="147"/>
    <d v="2025-03-02T00:00:00"/>
    <d v="2025-03-05T00:00:00"/>
    <x v="1"/>
    <x v="2"/>
    <x v="1"/>
    <x v="0"/>
    <x v="21"/>
    <x v="2"/>
    <x v="9"/>
    <x v="1"/>
  </r>
  <r>
    <s v="TX501640"/>
    <x v="5"/>
    <x v="3"/>
    <x v="647"/>
    <n v="205.79999999999998"/>
    <d v="2025-03-02T00:00:00"/>
    <d v="2025-03-02T00:00:00"/>
    <x v="1"/>
    <x v="3"/>
    <x v="2"/>
    <x v="0"/>
    <x v="21"/>
    <x v="7"/>
    <x v="9"/>
    <x v="1"/>
  </r>
  <r>
    <s v="TX501641"/>
    <x v="15"/>
    <x v="1"/>
    <x v="240"/>
    <n v="64.599999999999994"/>
    <d v="2025-03-02T00:00:00"/>
    <d v="2025-03-03T00:00:00"/>
    <x v="1"/>
    <x v="0"/>
    <x v="2"/>
    <x v="0"/>
    <x v="21"/>
    <x v="3"/>
    <x v="9"/>
    <x v="1"/>
  </r>
  <r>
    <s v="TX501642"/>
    <x v="6"/>
    <x v="0"/>
    <x v="567"/>
    <n v="42.2"/>
    <d v="2025-03-03T00:00:00"/>
    <d v="2025-03-05T00:00:00"/>
    <x v="2"/>
    <x v="0"/>
    <x v="2"/>
    <x v="0"/>
    <x v="21"/>
    <x v="1"/>
    <x v="9"/>
    <x v="2"/>
  </r>
  <r>
    <s v="TX501643"/>
    <x v="6"/>
    <x v="0"/>
    <x v="526"/>
    <n v="53.7"/>
    <d v="2025-03-03T00:00:00"/>
    <d v="2025-03-05T00:00:00"/>
    <x v="1"/>
    <x v="1"/>
    <x v="1"/>
    <x v="0"/>
    <x v="1"/>
    <x v="1"/>
    <x v="9"/>
    <x v="1"/>
  </r>
  <r>
    <s v="TX501644"/>
    <x v="2"/>
    <x v="1"/>
    <x v="799"/>
    <n v="247.8"/>
    <d v="2025-03-03T00:00:00"/>
    <d v="2025-03-06T00:00:00"/>
    <x v="1"/>
    <x v="2"/>
    <x v="0"/>
    <x v="0"/>
    <x v="1"/>
    <x v="2"/>
    <x v="9"/>
    <x v="1"/>
  </r>
  <r>
    <s v="TX501645"/>
    <x v="4"/>
    <x v="2"/>
    <x v="275"/>
    <n v="107.69999999999999"/>
    <d v="2025-03-03T00:00:00"/>
    <d v="2025-03-05T00:00:00"/>
    <x v="1"/>
    <x v="2"/>
    <x v="0"/>
    <x v="0"/>
    <x v="22"/>
    <x v="1"/>
    <x v="9"/>
    <x v="1"/>
  </r>
  <r>
    <s v="TX501646"/>
    <x v="4"/>
    <x v="1"/>
    <x v="174"/>
    <n v="47.2"/>
    <d v="2025-03-03T00:00:00"/>
    <d v="2025-03-06T00:00:00"/>
    <x v="1"/>
    <x v="0"/>
    <x v="2"/>
    <x v="0"/>
    <x v="3"/>
    <x v="2"/>
    <x v="9"/>
    <x v="1"/>
  </r>
  <r>
    <s v="TX501647"/>
    <x v="15"/>
    <x v="36"/>
    <x v="108"/>
    <n v="1599.5"/>
    <d v="2025-03-03T00:00:00"/>
    <d v="2025-03-04T00:00:00"/>
    <x v="1"/>
    <x v="0"/>
    <x v="1"/>
    <x v="0"/>
    <x v="3"/>
    <x v="3"/>
    <x v="9"/>
    <x v="1"/>
  </r>
  <r>
    <s v="TX501648"/>
    <x v="6"/>
    <x v="5"/>
    <x v="800"/>
    <n v="1301.3"/>
    <d v="2025-03-03T00:00:00"/>
    <d v="2025-03-05T00:00:00"/>
    <x v="1"/>
    <x v="4"/>
    <x v="2"/>
    <x v="0"/>
    <x v="3"/>
    <x v="1"/>
    <x v="9"/>
    <x v="1"/>
  </r>
  <r>
    <s v="TX501649"/>
    <x v="19"/>
    <x v="0"/>
    <x v="307"/>
    <n v="36"/>
    <d v="2025-03-03T00:00:00"/>
    <d v="2025-03-04T00:00:00"/>
    <x v="2"/>
    <x v="0"/>
    <x v="1"/>
    <x v="0"/>
    <x v="3"/>
    <x v="3"/>
    <x v="9"/>
    <x v="2"/>
  </r>
  <r>
    <s v="TX501650"/>
    <x v="8"/>
    <x v="1"/>
    <x v="719"/>
    <n v="74.2"/>
    <d v="2025-03-03T00:00:00"/>
    <d v="2025-03-06T00:00:00"/>
    <x v="2"/>
    <x v="2"/>
    <x v="0"/>
    <x v="0"/>
    <x v="3"/>
    <x v="2"/>
    <x v="9"/>
    <x v="2"/>
  </r>
  <r>
    <s v="TX501651"/>
    <x v="18"/>
    <x v="2"/>
    <x v="226"/>
    <n v="135.30000000000001"/>
    <d v="2025-03-03T00:00:00"/>
    <d v="2025-03-05T00:00:00"/>
    <x v="2"/>
    <x v="1"/>
    <x v="2"/>
    <x v="0"/>
    <x v="3"/>
    <x v="1"/>
    <x v="9"/>
    <x v="2"/>
  </r>
  <r>
    <s v="TX501652"/>
    <x v="5"/>
    <x v="27"/>
    <x v="430"/>
    <n v="606.4"/>
    <d v="2025-03-03T00:00:00"/>
    <d v="2025-03-04T00:00:00"/>
    <x v="2"/>
    <x v="3"/>
    <x v="2"/>
    <x v="0"/>
    <x v="3"/>
    <x v="3"/>
    <x v="9"/>
    <x v="2"/>
  </r>
  <r>
    <s v="TX501653"/>
    <x v="2"/>
    <x v="1"/>
    <x v="801"/>
    <n v="243.2"/>
    <d v="2025-03-03T00:00:00"/>
    <d v="2025-03-06T00:00:00"/>
    <x v="1"/>
    <x v="3"/>
    <x v="2"/>
    <x v="0"/>
    <x v="3"/>
    <x v="2"/>
    <x v="9"/>
    <x v="1"/>
  </r>
  <r>
    <s v="TX501654"/>
    <x v="5"/>
    <x v="3"/>
    <x v="751"/>
    <n v="267.40000000000003"/>
    <d v="2025-03-03T00:00:00"/>
    <d v="2025-03-06T00:00:00"/>
    <x v="2"/>
    <x v="0"/>
    <x v="0"/>
    <x v="0"/>
    <x v="3"/>
    <x v="2"/>
    <x v="9"/>
    <x v="2"/>
  </r>
  <r>
    <s v="TX501655"/>
    <x v="17"/>
    <x v="1"/>
    <x v="790"/>
    <n v="74.400000000000006"/>
    <d v="2025-03-03T00:00:00"/>
    <d v="2025-03-06T00:00:00"/>
    <x v="1"/>
    <x v="4"/>
    <x v="0"/>
    <x v="0"/>
    <x v="3"/>
    <x v="2"/>
    <x v="9"/>
    <x v="1"/>
  </r>
  <r>
    <s v="TX501656"/>
    <x v="2"/>
    <x v="12"/>
    <x v="802"/>
    <n v="462.8"/>
    <d v="2025-03-03T00:00:00"/>
    <d v="2025-03-06T00:00:00"/>
    <x v="2"/>
    <x v="1"/>
    <x v="0"/>
    <x v="0"/>
    <x v="3"/>
    <x v="2"/>
    <x v="9"/>
    <x v="2"/>
  </r>
  <r>
    <s v="TX501657"/>
    <x v="2"/>
    <x v="13"/>
    <x v="539"/>
    <n v="596.40000000000009"/>
    <d v="2025-03-03T00:00:00"/>
    <d v="2025-03-06T00:00:00"/>
    <x v="1"/>
    <x v="0"/>
    <x v="2"/>
    <x v="0"/>
    <x v="3"/>
    <x v="2"/>
    <x v="9"/>
    <x v="1"/>
  </r>
  <r>
    <s v="TX501658"/>
    <x v="11"/>
    <x v="0"/>
    <x v="26"/>
    <n v="38.700000000000003"/>
    <d v="2025-03-03T00:00:00"/>
    <d v="2025-03-04T00:00:00"/>
    <x v="2"/>
    <x v="2"/>
    <x v="0"/>
    <x v="0"/>
    <x v="25"/>
    <x v="3"/>
    <x v="9"/>
    <x v="2"/>
  </r>
  <r>
    <s v="TX501659"/>
    <x v="4"/>
    <x v="1"/>
    <x v="803"/>
    <n v="71"/>
    <d v="2025-03-03T00:00:00"/>
    <d v="2025-03-06T00:00:00"/>
    <x v="1"/>
    <x v="0"/>
    <x v="2"/>
    <x v="0"/>
    <x v="25"/>
    <x v="2"/>
    <x v="9"/>
    <x v="1"/>
  </r>
  <r>
    <s v="TX501660"/>
    <x v="2"/>
    <x v="12"/>
    <x v="283"/>
    <n v="373.2"/>
    <d v="2025-03-03T00:00:00"/>
    <d v="2025-03-06T00:00:00"/>
    <x v="2"/>
    <x v="0"/>
    <x v="2"/>
    <x v="0"/>
    <x v="6"/>
    <x v="2"/>
    <x v="9"/>
    <x v="2"/>
  </r>
  <r>
    <s v="TX501661"/>
    <x v="16"/>
    <x v="0"/>
    <x v="541"/>
    <n v="31.4"/>
    <d v="2025-03-03T00:00:00"/>
    <d v="2025-03-08T00:00:00"/>
    <x v="2"/>
    <x v="2"/>
    <x v="2"/>
    <x v="0"/>
    <x v="6"/>
    <x v="0"/>
    <x v="9"/>
    <x v="2"/>
  </r>
  <r>
    <s v="TX501662"/>
    <x v="1"/>
    <x v="0"/>
    <x v="804"/>
    <n v="85.9"/>
    <d v="2025-03-03T00:00:00"/>
    <d v="2025-03-06T00:00:00"/>
    <x v="1"/>
    <x v="1"/>
    <x v="0"/>
    <x v="0"/>
    <x v="6"/>
    <x v="2"/>
    <x v="9"/>
    <x v="1"/>
  </r>
  <r>
    <s v="TX501663"/>
    <x v="6"/>
    <x v="8"/>
    <x v="52"/>
    <n v="333.6"/>
    <d v="2025-03-03T00:00:00"/>
    <d v="2025-03-11T00:00:00"/>
    <x v="1"/>
    <x v="0"/>
    <x v="2"/>
    <x v="0"/>
    <x v="7"/>
    <x v="9"/>
    <x v="9"/>
    <x v="1"/>
  </r>
  <r>
    <s v="TX501664"/>
    <x v="8"/>
    <x v="12"/>
    <x v="217"/>
    <n v="126"/>
    <d v="2025-03-03T00:00:00"/>
    <d v="2025-03-04T00:00:00"/>
    <x v="2"/>
    <x v="0"/>
    <x v="0"/>
    <x v="0"/>
    <x v="7"/>
    <x v="3"/>
    <x v="9"/>
    <x v="2"/>
  </r>
  <r>
    <s v="TX501665"/>
    <x v="8"/>
    <x v="1"/>
    <x v="791"/>
    <n v="72.599999999999994"/>
    <d v="2025-03-03T00:00:00"/>
    <d v="2025-03-04T00:00:00"/>
    <x v="2"/>
    <x v="0"/>
    <x v="4"/>
    <x v="0"/>
    <x v="8"/>
    <x v="3"/>
    <x v="9"/>
    <x v="2"/>
  </r>
  <r>
    <s v="TX501666"/>
    <x v="8"/>
    <x v="2"/>
    <x v="172"/>
    <n v="100.19999999999999"/>
    <d v="2025-03-03T00:00:00"/>
    <d v="2025-03-04T00:00:00"/>
    <x v="2"/>
    <x v="3"/>
    <x v="0"/>
    <x v="0"/>
    <x v="17"/>
    <x v="3"/>
    <x v="9"/>
    <x v="2"/>
  </r>
  <r>
    <s v="TX501667"/>
    <x v="2"/>
    <x v="2"/>
    <x v="203"/>
    <n v="195.60000000000002"/>
    <d v="2025-03-03T00:00:00"/>
    <d v="2025-03-04T00:00:00"/>
    <x v="2"/>
    <x v="2"/>
    <x v="2"/>
    <x v="0"/>
    <x v="26"/>
    <x v="3"/>
    <x v="9"/>
    <x v="2"/>
  </r>
  <r>
    <s v="TX501668"/>
    <x v="8"/>
    <x v="11"/>
    <x v="313"/>
    <n v="589.5"/>
    <d v="2025-03-03T00:00:00"/>
    <d v="2025-03-06T00:00:00"/>
    <x v="2"/>
    <x v="0"/>
    <x v="2"/>
    <x v="0"/>
    <x v="9"/>
    <x v="2"/>
    <x v="9"/>
    <x v="2"/>
  </r>
  <r>
    <s v="TX501669"/>
    <x v="6"/>
    <x v="2"/>
    <x v="434"/>
    <n v="158.39999999999998"/>
    <d v="2025-03-03T00:00:00"/>
    <d v="2025-03-06T00:00:00"/>
    <x v="1"/>
    <x v="2"/>
    <x v="0"/>
    <x v="0"/>
    <x v="9"/>
    <x v="2"/>
    <x v="9"/>
    <x v="1"/>
  </r>
  <r>
    <s v="TX501670"/>
    <x v="9"/>
    <x v="9"/>
    <x v="209"/>
    <n v="120"/>
    <d v="2025-03-03T00:00:00"/>
    <d v="2025-03-07T00:00:00"/>
    <x v="1"/>
    <x v="0"/>
    <x v="1"/>
    <x v="0"/>
    <x v="11"/>
    <x v="5"/>
    <x v="9"/>
    <x v="1"/>
  </r>
  <r>
    <s v="TX501671"/>
    <x v="3"/>
    <x v="2"/>
    <x v="440"/>
    <n v="153.60000000000002"/>
    <d v="2025-03-03T00:00:00"/>
    <d v="2025-03-04T00:00:00"/>
    <x v="2"/>
    <x v="0"/>
    <x v="0"/>
    <x v="0"/>
    <x v="32"/>
    <x v="3"/>
    <x v="9"/>
    <x v="2"/>
  </r>
  <r>
    <s v="TX501672"/>
    <x v="5"/>
    <x v="2"/>
    <x v="805"/>
    <n v="84.9"/>
    <d v="2025-03-03T00:00:00"/>
    <d v="2025-03-05T00:00:00"/>
    <x v="1"/>
    <x v="4"/>
    <x v="0"/>
    <x v="0"/>
    <x v="19"/>
    <x v="1"/>
    <x v="9"/>
    <x v="1"/>
  </r>
  <r>
    <s v="TX501673"/>
    <x v="6"/>
    <x v="2"/>
    <x v="318"/>
    <n v="126.89999999999999"/>
    <d v="2025-03-03T00:00:00"/>
    <d v="2025-03-03T00:00:00"/>
    <x v="2"/>
    <x v="2"/>
    <x v="1"/>
    <x v="0"/>
    <x v="19"/>
    <x v="7"/>
    <x v="9"/>
    <x v="2"/>
  </r>
  <r>
    <s v="TX501674"/>
    <x v="2"/>
    <x v="8"/>
    <x v="806"/>
    <n v="1306.4000000000001"/>
    <d v="2025-03-04T00:00:00"/>
    <d v="2025-03-05T00:00:00"/>
    <x v="2"/>
    <x v="1"/>
    <x v="0"/>
    <x v="0"/>
    <x v="13"/>
    <x v="3"/>
    <x v="9"/>
    <x v="2"/>
  </r>
  <r>
    <s v="TX501675"/>
    <x v="6"/>
    <x v="3"/>
    <x v="219"/>
    <n v="331.09999999999997"/>
    <d v="2025-03-04T00:00:00"/>
    <d v="2025-03-07T00:00:00"/>
    <x v="2"/>
    <x v="4"/>
    <x v="1"/>
    <x v="0"/>
    <x v="21"/>
    <x v="2"/>
    <x v="9"/>
    <x v="2"/>
  </r>
  <r>
    <s v="TX501676"/>
    <x v="8"/>
    <x v="27"/>
    <x v="807"/>
    <n v="436.8"/>
    <d v="2025-03-04T00:00:00"/>
    <d v="2025-03-05T00:00:00"/>
    <x v="2"/>
    <x v="2"/>
    <x v="0"/>
    <x v="0"/>
    <x v="21"/>
    <x v="3"/>
    <x v="9"/>
    <x v="2"/>
  </r>
  <r>
    <s v="TX501677"/>
    <x v="10"/>
    <x v="13"/>
    <x v="271"/>
    <n v="209.39999999999998"/>
    <d v="2025-03-04T00:00:00"/>
    <d v="2025-03-15T00:00:00"/>
    <x v="2"/>
    <x v="0"/>
    <x v="0"/>
    <x v="0"/>
    <x v="21"/>
    <x v="11"/>
    <x v="9"/>
    <x v="2"/>
  </r>
  <r>
    <s v="TX501678"/>
    <x v="6"/>
    <x v="1"/>
    <x v="190"/>
    <n v="107.8"/>
    <d v="2025-03-04T00:00:00"/>
    <d v="2025-03-07T00:00:00"/>
    <x v="3"/>
    <x v="0"/>
    <x v="4"/>
    <x v="0"/>
    <x v="1"/>
    <x v="2"/>
    <x v="9"/>
    <x v="3"/>
  </r>
  <r>
    <s v="TX501679"/>
    <x v="2"/>
    <x v="1"/>
    <x v="808"/>
    <n v="174.4"/>
    <d v="2025-03-04T00:00:00"/>
    <d v="2025-03-05T00:00:00"/>
    <x v="2"/>
    <x v="0"/>
    <x v="1"/>
    <x v="0"/>
    <x v="1"/>
    <x v="3"/>
    <x v="9"/>
    <x v="2"/>
  </r>
  <r>
    <s v="TX501680"/>
    <x v="15"/>
    <x v="0"/>
    <x v="466"/>
    <n v="58.8"/>
    <d v="2025-03-04T00:00:00"/>
    <d v="2025-03-06T00:00:00"/>
    <x v="2"/>
    <x v="2"/>
    <x v="0"/>
    <x v="0"/>
    <x v="44"/>
    <x v="1"/>
    <x v="9"/>
    <x v="2"/>
  </r>
  <r>
    <s v="TX501681"/>
    <x v="2"/>
    <x v="3"/>
    <x v="809"/>
    <n v="878.5"/>
    <d v="2025-03-04T00:00:00"/>
    <d v="2025-03-05T00:00:00"/>
    <x v="1"/>
    <x v="2"/>
    <x v="4"/>
    <x v="0"/>
    <x v="22"/>
    <x v="3"/>
    <x v="9"/>
    <x v="1"/>
  </r>
  <r>
    <s v="TX501682"/>
    <x v="1"/>
    <x v="12"/>
    <x v="810"/>
    <n v="498.4"/>
    <d v="2025-03-04T00:00:00"/>
    <d v="2025-03-06T00:00:00"/>
    <x v="2"/>
    <x v="0"/>
    <x v="1"/>
    <x v="0"/>
    <x v="22"/>
    <x v="1"/>
    <x v="9"/>
    <x v="2"/>
  </r>
  <r>
    <s v="TX501683"/>
    <x v="1"/>
    <x v="3"/>
    <x v="811"/>
    <n v="279.3"/>
    <d v="2025-03-04T00:00:00"/>
    <d v="2025-03-05T00:00:00"/>
    <x v="1"/>
    <x v="2"/>
    <x v="1"/>
    <x v="0"/>
    <x v="3"/>
    <x v="3"/>
    <x v="9"/>
    <x v="1"/>
  </r>
  <r>
    <s v="TX501684"/>
    <x v="6"/>
    <x v="0"/>
    <x v="477"/>
    <n v="94.6"/>
    <d v="2025-03-04T00:00:00"/>
    <d v="2025-03-18T00:00:00"/>
    <x v="2"/>
    <x v="0"/>
    <x v="1"/>
    <x v="0"/>
    <x v="3"/>
    <x v="12"/>
    <x v="9"/>
    <x v="2"/>
  </r>
  <r>
    <s v="TX501685"/>
    <x v="2"/>
    <x v="1"/>
    <x v="662"/>
    <n v="299.2"/>
    <d v="2025-03-04T00:00:00"/>
    <d v="2025-03-05T00:00:00"/>
    <x v="2"/>
    <x v="0"/>
    <x v="0"/>
    <x v="0"/>
    <x v="3"/>
    <x v="3"/>
    <x v="9"/>
    <x v="2"/>
  </r>
  <r>
    <s v="TX501686"/>
    <x v="8"/>
    <x v="0"/>
    <x v="793"/>
    <n v="52.2"/>
    <d v="2025-03-04T00:00:00"/>
    <d v="2025-03-05T00:00:00"/>
    <x v="0"/>
    <x v="1"/>
    <x v="0"/>
    <x v="0"/>
    <x v="3"/>
    <x v="3"/>
    <x v="9"/>
    <x v="0"/>
  </r>
  <r>
    <s v="TX501687"/>
    <x v="6"/>
    <x v="1"/>
    <x v="812"/>
    <n v="193"/>
    <d v="2025-03-04T00:00:00"/>
    <d v="2025-03-05T00:00:00"/>
    <x v="2"/>
    <x v="1"/>
    <x v="1"/>
    <x v="0"/>
    <x v="3"/>
    <x v="3"/>
    <x v="9"/>
    <x v="2"/>
  </r>
  <r>
    <s v="TX501688"/>
    <x v="8"/>
    <x v="1"/>
    <x v="304"/>
    <n v="159.6"/>
    <d v="2025-03-04T00:00:00"/>
    <d v="2025-03-06T00:00:00"/>
    <x v="2"/>
    <x v="0"/>
    <x v="1"/>
    <x v="0"/>
    <x v="3"/>
    <x v="1"/>
    <x v="9"/>
    <x v="2"/>
  </r>
  <r>
    <s v="TX501689"/>
    <x v="8"/>
    <x v="2"/>
    <x v="533"/>
    <n v="106.80000000000001"/>
    <d v="2025-03-04T00:00:00"/>
    <d v="2025-03-05T00:00:00"/>
    <x v="2"/>
    <x v="2"/>
    <x v="0"/>
    <x v="0"/>
    <x v="3"/>
    <x v="3"/>
    <x v="9"/>
    <x v="2"/>
  </r>
  <r>
    <s v="TX501690"/>
    <x v="16"/>
    <x v="0"/>
    <x v="534"/>
    <n v="50.2"/>
    <d v="2025-03-04T00:00:00"/>
    <d v="2025-03-05T00:00:00"/>
    <x v="2"/>
    <x v="1"/>
    <x v="2"/>
    <x v="0"/>
    <x v="3"/>
    <x v="3"/>
    <x v="9"/>
    <x v="2"/>
  </r>
  <r>
    <s v="TX501691"/>
    <x v="1"/>
    <x v="2"/>
    <x v="6"/>
    <n v="165.89999999999998"/>
    <d v="2025-03-04T00:00:00"/>
    <d v="2025-03-07T00:00:00"/>
    <x v="2"/>
    <x v="0"/>
    <x v="4"/>
    <x v="0"/>
    <x v="40"/>
    <x v="2"/>
    <x v="9"/>
    <x v="2"/>
  </r>
  <r>
    <s v="TX501692"/>
    <x v="6"/>
    <x v="3"/>
    <x v="617"/>
    <n v="731.5"/>
    <d v="2025-03-04T00:00:00"/>
    <d v="2025-03-08T00:00:00"/>
    <x v="2"/>
    <x v="1"/>
    <x v="0"/>
    <x v="0"/>
    <x v="7"/>
    <x v="5"/>
    <x v="9"/>
    <x v="2"/>
  </r>
  <r>
    <s v="TX501693"/>
    <x v="6"/>
    <x v="12"/>
    <x v="563"/>
    <n v="266"/>
    <d v="2025-03-04T00:00:00"/>
    <d v="2025-03-06T00:00:00"/>
    <x v="1"/>
    <x v="1"/>
    <x v="0"/>
    <x v="0"/>
    <x v="7"/>
    <x v="1"/>
    <x v="9"/>
    <x v="1"/>
  </r>
  <r>
    <s v="TX501694"/>
    <x v="10"/>
    <x v="8"/>
    <x v="629"/>
    <n v="306.39999999999998"/>
    <d v="2025-03-04T00:00:00"/>
    <d v="2025-03-05T00:00:00"/>
    <x v="2"/>
    <x v="0"/>
    <x v="0"/>
    <x v="0"/>
    <x v="7"/>
    <x v="3"/>
    <x v="9"/>
    <x v="2"/>
  </r>
  <r>
    <s v="TX501695"/>
    <x v="6"/>
    <x v="2"/>
    <x v="259"/>
    <n v="191.39999999999998"/>
    <d v="2025-03-04T00:00:00"/>
    <d v="2025-03-07T00:00:00"/>
    <x v="2"/>
    <x v="1"/>
    <x v="0"/>
    <x v="0"/>
    <x v="8"/>
    <x v="2"/>
    <x v="9"/>
    <x v="2"/>
  </r>
  <r>
    <s v="TX501696"/>
    <x v="15"/>
    <x v="0"/>
    <x v="302"/>
    <n v="21.4"/>
    <d v="2025-03-04T00:00:00"/>
    <d v="2025-03-04T00:00:00"/>
    <x v="1"/>
    <x v="4"/>
    <x v="0"/>
    <x v="0"/>
    <x v="8"/>
    <x v="7"/>
    <x v="9"/>
    <x v="1"/>
  </r>
  <r>
    <s v="TX501697"/>
    <x v="8"/>
    <x v="12"/>
    <x v="369"/>
    <n v="176.4"/>
    <d v="2025-03-04T00:00:00"/>
    <d v="2025-03-06T00:00:00"/>
    <x v="2"/>
    <x v="2"/>
    <x v="0"/>
    <x v="0"/>
    <x v="8"/>
    <x v="1"/>
    <x v="9"/>
    <x v="2"/>
  </r>
  <r>
    <s v="TX501698"/>
    <x v="5"/>
    <x v="8"/>
    <x v="222"/>
    <n v="460.8"/>
    <d v="2025-03-04T00:00:00"/>
    <d v="2025-03-06T00:00:00"/>
    <x v="1"/>
    <x v="1"/>
    <x v="2"/>
    <x v="0"/>
    <x v="8"/>
    <x v="1"/>
    <x v="9"/>
    <x v="1"/>
  </r>
  <r>
    <s v="TX501699"/>
    <x v="9"/>
    <x v="1"/>
    <x v="127"/>
    <n v="40.6"/>
    <d v="2025-03-04T00:00:00"/>
    <d v="2025-03-10T00:00:00"/>
    <x v="2"/>
    <x v="3"/>
    <x v="0"/>
    <x v="0"/>
    <x v="8"/>
    <x v="4"/>
    <x v="9"/>
    <x v="2"/>
  </r>
  <r>
    <s v="TX501700"/>
    <x v="8"/>
    <x v="0"/>
    <x v="409"/>
    <n v="22.9"/>
    <d v="2025-03-04T00:00:00"/>
    <d v="2025-03-06T00:00:00"/>
    <x v="2"/>
    <x v="2"/>
    <x v="2"/>
    <x v="0"/>
    <x v="8"/>
    <x v="1"/>
    <x v="9"/>
    <x v="2"/>
  </r>
  <r>
    <s v="TX501701"/>
    <x v="6"/>
    <x v="12"/>
    <x v="250"/>
    <n v="423.6"/>
    <d v="2025-03-04T00:00:00"/>
    <d v="2025-03-05T00:00:00"/>
    <x v="2"/>
    <x v="1"/>
    <x v="2"/>
    <x v="0"/>
    <x v="17"/>
    <x v="3"/>
    <x v="9"/>
    <x v="2"/>
  </r>
  <r>
    <s v="TX501702"/>
    <x v="1"/>
    <x v="11"/>
    <x v="484"/>
    <n v="336.59999999999997"/>
    <d v="2025-03-04T00:00:00"/>
    <d v="2025-03-08T00:00:00"/>
    <x v="1"/>
    <x v="1"/>
    <x v="0"/>
    <x v="0"/>
    <x v="11"/>
    <x v="5"/>
    <x v="9"/>
    <x v="1"/>
  </r>
  <r>
    <s v="TX501703"/>
    <x v="18"/>
    <x v="1"/>
    <x v="561"/>
    <n v="158"/>
    <d v="2025-03-04T00:00:00"/>
    <d v="2025-03-05T00:00:00"/>
    <x v="1"/>
    <x v="2"/>
    <x v="0"/>
    <x v="0"/>
    <x v="28"/>
    <x v="3"/>
    <x v="9"/>
    <x v="1"/>
  </r>
  <r>
    <s v="TX501704"/>
    <x v="0"/>
    <x v="2"/>
    <x v="55"/>
    <n v="57.900000000000006"/>
    <d v="2025-03-04T00:00:00"/>
    <d v="2025-03-05T00:00:00"/>
    <x v="2"/>
    <x v="4"/>
    <x v="0"/>
    <x v="0"/>
    <x v="21"/>
    <x v="3"/>
    <x v="9"/>
    <x v="2"/>
  </r>
  <r>
    <s v="TX501705"/>
    <x v="0"/>
    <x v="0"/>
    <x v="209"/>
    <n v="24"/>
    <d v="2025-03-04T00:00:00"/>
    <d v="2025-03-05T00:00:00"/>
    <x v="2"/>
    <x v="1"/>
    <x v="0"/>
    <x v="0"/>
    <x v="1"/>
    <x v="3"/>
    <x v="9"/>
    <x v="2"/>
  </r>
  <r>
    <s v="TX501706"/>
    <x v="6"/>
    <x v="9"/>
    <x v="760"/>
    <n v="356.5"/>
    <d v="2025-03-04T00:00:00"/>
    <d v="2025-03-07T00:00:00"/>
    <x v="2"/>
    <x v="2"/>
    <x v="0"/>
    <x v="0"/>
    <x v="2"/>
    <x v="2"/>
    <x v="9"/>
    <x v="2"/>
  </r>
  <r>
    <s v="TX501707"/>
    <x v="5"/>
    <x v="1"/>
    <x v="621"/>
    <n v="332.4"/>
    <d v="2025-03-04T00:00:00"/>
    <d v="2025-03-05T00:00:00"/>
    <x v="1"/>
    <x v="0"/>
    <x v="2"/>
    <x v="0"/>
    <x v="50"/>
    <x v="3"/>
    <x v="9"/>
    <x v="1"/>
  </r>
  <r>
    <s v="TX501708"/>
    <x v="6"/>
    <x v="0"/>
    <x v="328"/>
    <n v="81"/>
    <d v="2025-03-04T00:00:00"/>
    <d v="2025-03-05T00:00:00"/>
    <x v="2"/>
    <x v="2"/>
    <x v="1"/>
    <x v="0"/>
    <x v="3"/>
    <x v="3"/>
    <x v="9"/>
    <x v="2"/>
  </r>
  <r>
    <s v="TX501709"/>
    <x v="10"/>
    <x v="13"/>
    <x v="153"/>
    <n v="231"/>
    <d v="2025-03-04T00:00:00"/>
    <d v="2025-03-08T00:00:00"/>
    <x v="2"/>
    <x v="0"/>
    <x v="0"/>
    <x v="0"/>
    <x v="3"/>
    <x v="5"/>
    <x v="9"/>
    <x v="2"/>
  </r>
  <r>
    <s v="TX501710"/>
    <x v="6"/>
    <x v="0"/>
    <x v="813"/>
    <n v="86.1"/>
    <d v="2025-03-04T00:00:00"/>
    <d v="2025-03-06T00:00:00"/>
    <x v="2"/>
    <x v="3"/>
    <x v="0"/>
    <x v="0"/>
    <x v="3"/>
    <x v="1"/>
    <x v="9"/>
    <x v="2"/>
  </r>
  <r>
    <s v="TX501711"/>
    <x v="2"/>
    <x v="9"/>
    <x v="707"/>
    <n v="255"/>
    <d v="2025-03-04T00:00:00"/>
    <d v="2025-03-05T00:00:00"/>
    <x v="1"/>
    <x v="0"/>
    <x v="1"/>
    <x v="0"/>
    <x v="3"/>
    <x v="3"/>
    <x v="9"/>
    <x v="1"/>
  </r>
  <r>
    <s v="TX501712"/>
    <x v="3"/>
    <x v="9"/>
    <x v="814"/>
    <n v="577"/>
    <d v="2025-03-04T00:00:00"/>
    <d v="2025-03-05T00:00:00"/>
    <x v="1"/>
    <x v="0"/>
    <x v="0"/>
    <x v="0"/>
    <x v="3"/>
    <x v="3"/>
    <x v="9"/>
    <x v="1"/>
  </r>
  <r>
    <s v="TX501713"/>
    <x v="6"/>
    <x v="12"/>
    <x v="815"/>
    <n v="706"/>
    <d v="2025-03-04T00:00:00"/>
    <d v="2025-03-05T00:00:00"/>
    <x v="2"/>
    <x v="2"/>
    <x v="2"/>
    <x v="0"/>
    <x v="3"/>
    <x v="3"/>
    <x v="9"/>
    <x v="2"/>
  </r>
  <r>
    <s v="TX501714"/>
    <x v="7"/>
    <x v="2"/>
    <x v="816"/>
    <n v="146.69999999999999"/>
    <d v="2025-03-04T00:00:00"/>
    <d v="2025-03-05T00:00:00"/>
    <x v="1"/>
    <x v="4"/>
    <x v="0"/>
    <x v="0"/>
    <x v="3"/>
    <x v="3"/>
    <x v="9"/>
    <x v="1"/>
  </r>
  <r>
    <s v="TX501715"/>
    <x v="8"/>
    <x v="2"/>
    <x v="606"/>
    <n v="54.300000000000004"/>
    <d v="2025-03-04T00:00:00"/>
    <d v="2025-03-11T00:00:00"/>
    <x v="2"/>
    <x v="1"/>
    <x v="2"/>
    <x v="0"/>
    <x v="29"/>
    <x v="6"/>
    <x v="9"/>
    <x v="2"/>
  </r>
  <r>
    <s v="TX501716"/>
    <x v="2"/>
    <x v="1"/>
    <x v="817"/>
    <n v="237"/>
    <d v="2025-03-04T00:00:00"/>
    <d v="2025-03-07T00:00:00"/>
    <x v="1"/>
    <x v="1"/>
    <x v="2"/>
    <x v="0"/>
    <x v="16"/>
    <x v="2"/>
    <x v="9"/>
    <x v="1"/>
  </r>
  <r>
    <s v="TX501717"/>
    <x v="15"/>
    <x v="3"/>
    <x v="523"/>
    <n v="413.7"/>
    <d v="2025-03-04T00:00:00"/>
    <d v="2025-03-05T00:00:00"/>
    <x v="2"/>
    <x v="3"/>
    <x v="0"/>
    <x v="0"/>
    <x v="25"/>
    <x v="3"/>
    <x v="9"/>
    <x v="2"/>
  </r>
  <r>
    <s v="TX501718"/>
    <x v="4"/>
    <x v="0"/>
    <x v="191"/>
    <n v="21.2"/>
    <d v="2025-03-04T00:00:00"/>
    <d v="2025-03-05T00:00:00"/>
    <x v="2"/>
    <x v="0"/>
    <x v="1"/>
    <x v="0"/>
    <x v="6"/>
    <x v="3"/>
    <x v="9"/>
    <x v="2"/>
  </r>
  <r>
    <s v="TX501719"/>
    <x v="6"/>
    <x v="1"/>
    <x v="794"/>
    <n v="137.6"/>
    <d v="2025-03-04T00:00:00"/>
    <d v="2025-03-09T00:00:00"/>
    <x v="2"/>
    <x v="3"/>
    <x v="2"/>
    <x v="0"/>
    <x v="6"/>
    <x v="0"/>
    <x v="9"/>
    <x v="2"/>
  </r>
  <r>
    <s v="TX501720"/>
    <x v="6"/>
    <x v="1"/>
    <x v="456"/>
    <n v="130.80000000000001"/>
    <d v="2025-03-04T00:00:00"/>
    <d v="2025-03-08T00:00:00"/>
    <x v="2"/>
    <x v="0"/>
    <x v="0"/>
    <x v="0"/>
    <x v="6"/>
    <x v="5"/>
    <x v="9"/>
    <x v="2"/>
  </r>
  <r>
    <s v="TX501721"/>
    <x v="12"/>
    <x v="9"/>
    <x v="730"/>
    <n v="331.5"/>
    <d v="2025-03-05T00:00:00"/>
    <d v="2025-03-08T00:00:00"/>
    <x v="2"/>
    <x v="4"/>
    <x v="0"/>
    <x v="0"/>
    <x v="6"/>
    <x v="2"/>
    <x v="9"/>
    <x v="2"/>
  </r>
  <r>
    <s v="TX501722"/>
    <x v="6"/>
    <x v="2"/>
    <x v="818"/>
    <n v="292.5"/>
    <d v="2025-03-05T00:00:00"/>
    <d v="2025-03-05T00:00:00"/>
    <x v="1"/>
    <x v="3"/>
    <x v="0"/>
    <x v="0"/>
    <x v="8"/>
    <x v="7"/>
    <x v="9"/>
    <x v="1"/>
  </r>
  <r>
    <s v="TX501723"/>
    <x v="1"/>
    <x v="1"/>
    <x v="548"/>
    <n v="88"/>
    <d v="2025-03-05T00:00:00"/>
    <d v="2025-03-08T00:00:00"/>
    <x v="2"/>
    <x v="1"/>
    <x v="2"/>
    <x v="0"/>
    <x v="8"/>
    <x v="2"/>
    <x v="9"/>
    <x v="2"/>
  </r>
  <r>
    <s v="TX501724"/>
    <x v="0"/>
    <x v="0"/>
    <x v="421"/>
    <n v="21.9"/>
    <d v="2025-03-05T00:00:00"/>
    <d v="2025-03-06T00:00:00"/>
    <x v="1"/>
    <x v="0"/>
    <x v="0"/>
    <x v="0"/>
    <x v="8"/>
    <x v="3"/>
    <x v="9"/>
    <x v="1"/>
  </r>
  <r>
    <s v="TX501725"/>
    <x v="4"/>
    <x v="3"/>
    <x v="332"/>
    <n v="150.5"/>
    <d v="2025-03-05T00:00:00"/>
    <d v="2025-03-07T00:00:00"/>
    <x v="2"/>
    <x v="1"/>
    <x v="2"/>
    <x v="0"/>
    <x v="9"/>
    <x v="1"/>
    <x v="9"/>
    <x v="2"/>
  </r>
  <r>
    <s v="TX501726"/>
    <x v="12"/>
    <x v="13"/>
    <x v="819"/>
    <n v="798"/>
    <d v="2025-03-05T00:00:00"/>
    <d v="2025-03-06T00:00:00"/>
    <x v="3"/>
    <x v="0"/>
    <x v="2"/>
    <x v="0"/>
    <x v="10"/>
    <x v="3"/>
    <x v="9"/>
    <x v="3"/>
  </r>
  <r>
    <s v="TX501727"/>
    <x v="8"/>
    <x v="1"/>
    <x v="672"/>
    <n v="95.4"/>
    <d v="2025-03-05T00:00:00"/>
    <d v="2025-03-09T00:00:00"/>
    <x v="1"/>
    <x v="0"/>
    <x v="2"/>
    <x v="0"/>
    <x v="10"/>
    <x v="5"/>
    <x v="9"/>
    <x v="1"/>
  </r>
  <r>
    <s v="TX501728"/>
    <x v="16"/>
    <x v="2"/>
    <x v="215"/>
    <n v="174.3"/>
    <d v="2025-03-05T00:00:00"/>
    <d v="2025-03-06T00:00:00"/>
    <x v="2"/>
    <x v="0"/>
    <x v="0"/>
    <x v="0"/>
    <x v="11"/>
    <x v="3"/>
    <x v="9"/>
    <x v="2"/>
  </r>
  <r>
    <s v="TX501729"/>
    <x v="12"/>
    <x v="12"/>
    <x v="450"/>
    <n v="266.39999999999998"/>
    <d v="2025-03-05T00:00:00"/>
    <d v="2025-03-06T00:00:00"/>
    <x v="0"/>
    <x v="0"/>
    <x v="0"/>
    <x v="0"/>
    <x v="11"/>
    <x v="3"/>
    <x v="9"/>
    <x v="0"/>
  </r>
  <r>
    <s v="TX501730"/>
    <x v="9"/>
    <x v="0"/>
    <x v="661"/>
    <n v="24.1"/>
    <d v="2025-03-05T00:00:00"/>
    <d v="2025-03-08T00:00:00"/>
    <x v="1"/>
    <x v="2"/>
    <x v="1"/>
    <x v="0"/>
    <x v="19"/>
    <x v="2"/>
    <x v="9"/>
    <x v="1"/>
  </r>
  <r>
    <s v="TX501731"/>
    <x v="10"/>
    <x v="9"/>
    <x v="599"/>
    <n v="257.5"/>
    <d v="2025-03-05T00:00:00"/>
    <d v="2025-03-10T00:00:00"/>
    <x v="2"/>
    <x v="0"/>
    <x v="0"/>
    <x v="0"/>
    <x v="13"/>
    <x v="0"/>
    <x v="9"/>
    <x v="2"/>
  </r>
  <r>
    <s v="TX501732"/>
    <x v="0"/>
    <x v="5"/>
    <x v="136"/>
    <n v="283.8"/>
    <d v="2025-03-05T00:00:00"/>
    <d v="2025-03-09T00:00:00"/>
    <x v="2"/>
    <x v="3"/>
    <x v="4"/>
    <x v="0"/>
    <x v="21"/>
    <x v="5"/>
    <x v="9"/>
    <x v="2"/>
  </r>
  <r>
    <s v="TX501733"/>
    <x v="9"/>
    <x v="12"/>
    <x v="672"/>
    <n v="190.8"/>
    <d v="2025-03-05T00:00:00"/>
    <d v="2025-03-05T00:00:00"/>
    <x v="2"/>
    <x v="0"/>
    <x v="1"/>
    <x v="0"/>
    <x v="21"/>
    <x v="7"/>
    <x v="9"/>
    <x v="2"/>
  </r>
  <r>
    <s v="TX501734"/>
    <x v="7"/>
    <x v="9"/>
    <x v="508"/>
    <n v="368"/>
    <d v="2025-03-05T00:00:00"/>
    <d v="2025-03-09T00:00:00"/>
    <x v="1"/>
    <x v="1"/>
    <x v="0"/>
    <x v="0"/>
    <x v="21"/>
    <x v="5"/>
    <x v="9"/>
    <x v="1"/>
  </r>
  <r>
    <s v="TX501735"/>
    <x v="5"/>
    <x v="3"/>
    <x v="820"/>
    <n v="638.4"/>
    <d v="2025-03-05T00:00:00"/>
    <d v="2025-03-06T00:00:00"/>
    <x v="1"/>
    <x v="1"/>
    <x v="2"/>
    <x v="0"/>
    <x v="21"/>
    <x v="3"/>
    <x v="9"/>
    <x v="1"/>
  </r>
  <r>
    <s v="TX501736"/>
    <x v="1"/>
    <x v="8"/>
    <x v="310"/>
    <n v="289.60000000000002"/>
    <d v="2025-03-05T00:00:00"/>
    <d v="2025-03-05T00:00:00"/>
    <x v="1"/>
    <x v="2"/>
    <x v="2"/>
    <x v="0"/>
    <x v="1"/>
    <x v="7"/>
    <x v="9"/>
    <x v="1"/>
  </r>
  <r>
    <s v="TX501737"/>
    <x v="9"/>
    <x v="8"/>
    <x v="729"/>
    <n v="784"/>
    <d v="2025-03-05T00:00:00"/>
    <d v="2025-03-09T00:00:00"/>
    <x v="2"/>
    <x v="2"/>
    <x v="0"/>
    <x v="0"/>
    <x v="2"/>
    <x v="5"/>
    <x v="9"/>
    <x v="2"/>
  </r>
  <r>
    <s v="TX501738"/>
    <x v="1"/>
    <x v="8"/>
    <x v="458"/>
    <n v="348.8"/>
    <d v="2025-03-05T00:00:00"/>
    <d v="2025-03-06T00:00:00"/>
    <x v="2"/>
    <x v="2"/>
    <x v="0"/>
    <x v="0"/>
    <x v="22"/>
    <x v="3"/>
    <x v="9"/>
    <x v="2"/>
  </r>
  <r>
    <s v="TX501739"/>
    <x v="8"/>
    <x v="7"/>
    <x v="256"/>
    <n v="378"/>
    <d v="2025-03-05T00:00:00"/>
    <d v="2025-03-05T00:00:00"/>
    <x v="3"/>
    <x v="0"/>
    <x v="0"/>
    <x v="0"/>
    <x v="50"/>
    <x v="7"/>
    <x v="9"/>
    <x v="3"/>
  </r>
  <r>
    <s v="TX501740"/>
    <x v="17"/>
    <x v="9"/>
    <x v="46"/>
    <n v="318.5"/>
    <d v="2025-03-05T00:00:00"/>
    <d v="2025-03-08T00:00:00"/>
    <x v="2"/>
    <x v="2"/>
    <x v="1"/>
    <x v="0"/>
    <x v="3"/>
    <x v="2"/>
    <x v="9"/>
    <x v="2"/>
  </r>
  <r>
    <s v="TX501741"/>
    <x v="5"/>
    <x v="11"/>
    <x v="821"/>
    <n v="566.1"/>
    <d v="2025-03-05T00:00:00"/>
    <d v="2025-03-10T00:00:00"/>
    <x v="1"/>
    <x v="3"/>
    <x v="2"/>
    <x v="0"/>
    <x v="3"/>
    <x v="0"/>
    <x v="9"/>
    <x v="1"/>
  </r>
  <r>
    <s v="TX501742"/>
    <x v="6"/>
    <x v="3"/>
    <x v="227"/>
    <n v="431.90000000000003"/>
    <d v="2025-03-05T00:00:00"/>
    <d v="2025-03-08T00:00:00"/>
    <x v="2"/>
    <x v="2"/>
    <x v="2"/>
    <x v="0"/>
    <x v="3"/>
    <x v="2"/>
    <x v="9"/>
    <x v="2"/>
  </r>
  <r>
    <s v="TX501743"/>
    <x v="18"/>
    <x v="21"/>
    <x v="355"/>
    <n v="511"/>
    <d v="2025-03-05T00:00:00"/>
    <d v="2025-03-06T00:00:00"/>
    <x v="1"/>
    <x v="0"/>
    <x v="2"/>
    <x v="0"/>
    <x v="3"/>
    <x v="3"/>
    <x v="9"/>
    <x v="1"/>
  </r>
  <r>
    <s v="TX501744"/>
    <x v="11"/>
    <x v="2"/>
    <x v="543"/>
    <n v="295.79999999999995"/>
    <d v="2025-03-05T00:00:00"/>
    <d v="2025-03-08T00:00:00"/>
    <x v="3"/>
    <x v="0"/>
    <x v="4"/>
    <x v="0"/>
    <x v="3"/>
    <x v="2"/>
    <x v="9"/>
    <x v="3"/>
  </r>
  <r>
    <s v="TX501745"/>
    <x v="8"/>
    <x v="1"/>
    <x v="359"/>
    <n v="38.4"/>
    <d v="2025-03-05T00:00:00"/>
    <d v="2025-03-15T00:00:00"/>
    <x v="1"/>
    <x v="0"/>
    <x v="0"/>
    <x v="0"/>
    <x v="3"/>
    <x v="14"/>
    <x v="9"/>
    <x v="1"/>
  </r>
  <r>
    <s v="TX501746"/>
    <x v="3"/>
    <x v="13"/>
    <x v="495"/>
    <n v="333.6"/>
    <d v="2025-03-05T00:00:00"/>
    <d v="2025-03-09T00:00:00"/>
    <x v="2"/>
    <x v="0"/>
    <x v="2"/>
    <x v="0"/>
    <x v="3"/>
    <x v="5"/>
    <x v="9"/>
    <x v="2"/>
  </r>
  <r>
    <s v="TX501747"/>
    <x v="5"/>
    <x v="13"/>
    <x v="576"/>
    <n v="338.4"/>
    <d v="2025-03-05T00:00:00"/>
    <d v="2025-03-06T00:00:00"/>
    <x v="2"/>
    <x v="1"/>
    <x v="0"/>
    <x v="0"/>
    <x v="3"/>
    <x v="3"/>
    <x v="9"/>
    <x v="2"/>
  </r>
  <r>
    <s v="TX501748"/>
    <x v="4"/>
    <x v="8"/>
    <x v="39"/>
    <n v="344.8"/>
    <d v="2025-03-05T00:00:00"/>
    <d v="2025-03-09T00:00:00"/>
    <x v="2"/>
    <x v="4"/>
    <x v="0"/>
    <x v="0"/>
    <x v="3"/>
    <x v="5"/>
    <x v="9"/>
    <x v="2"/>
  </r>
  <r>
    <s v="TX501749"/>
    <x v="1"/>
    <x v="1"/>
    <x v="81"/>
    <n v="154.6"/>
    <d v="2025-03-05T00:00:00"/>
    <d v="2025-03-07T00:00:00"/>
    <x v="1"/>
    <x v="0"/>
    <x v="0"/>
    <x v="0"/>
    <x v="6"/>
    <x v="1"/>
    <x v="9"/>
    <x v="1"/>
  </r>
  <r>
    <s v="TX501750"/>
    <x v="9"/>
    <x v="8"/>
    <x v="629"/>
    <n v="306.39999999999998"/>
    <d v="2025-03-05T00:00:00"/>
    <d v="2025-03-06T00:00:00"/>
    <x v="1"/>
    <x v="0"/>
    <x v="0"/>
    <x v="0"/>
    <x v="7"/>
    <x v="3"/>
    <x v="9"/>
    <x v="1"/>
  </r>
  <r>
    <s v="TX501751"/>
    <x v="0"/>
    <x v="3"/>
    <x v="384"/>
    <n v="117.60000000000001"/>
    <d v="2025-03-05T00:00:00"/>
    <d v="2025-03-08T00:00:00"/>
    <x v="1"/>
    <x v="2"/>
    <x v="1"/>
    <x v="0"/>
    <x v="8"/>
    <x v="2"/>
    <x v="9"/>
    <x v="1"/>
  </r>
  <r>
    <s v="TX501752"/>
    <x v="2"/>
    <x v="2"/>
    <x v="56"/>
    <n v="189.60000000000002"/>
    <d v="2025-03-05T00:00:00"/>
    <d v="2025-03-06T00:00:00"/>
    <x v="2"/>
    <x v="0"/>
    <x v="2"/>
    <x v="0"/>
    <x v="8"/>
    <x v="3"/>
    <x v="9"/>
    <x v="2"/>
  </r>
  <r>
    <s v="TX501753"/>
    <x v="14"/>
    <x v="44"/>
    <x v="138"/>
    <n v="913.1"/>
    <d v="2025-03-05T00:00:00"/>
    <d v="2025-03-06T00:00:00"/>
    <x v="1"/>
    <x v="0"/>
    <x v="0"/>
    <x v="0"/>
    <x v="8"/>
    <x v="3"/>
    <x v="9"/>
    <x v="1"/>
  </r>
  <r>
    <s v="TX501754"/>
    <x v="10"/>
    <x v="2"/>
    <x v="511"/>
    <n v="137.39999999999998"/>
    <d v="2025-03-05T00:00:00"/>
    <d v="2025-03-06T00:00:00"/>
    <x v="2"/>
    <x v="1"/>
    <x v="2"/>
    <x v="0"/>
    <x v="8"/>
    <x v="3"/>
    <x v="9"/>
    <x v="2"/>
  </r>
  <r>
    <s v="TX501755"/>
    <x v="0"/>
    <x v="13"/>
    <x v="822"/>
    <n v="74.400000000000006"/>
    <d v="2025-03-05T00:00:00"/>
    <d v="2025-03-08T00:00:00"/>
    <x v="1"/>
    <x v="0"/>
    <x v="0"/>
    <x v="0"/>
    <x v="8"/>
    <x v="2"/>
    <x v="9"/>
    <x v="1"/>
  </r>
  <r>
    <s v="TX501756"/>
    <x v="14"/>
    <x v="2"/>
    <x v="179"/>
    <n v="152.39999999999998"/>
    <d v="2025-03-06T00:00:00"/>
    <d v="2025-03-06T00:00:00"/>
    <x v="2"/>
    <x v="4"/>
    <x v="0"/>
    <x v="0"/>
    <x v="17"/>
    <x v="7"/>
    <x v="9"/>
    <x v="2"/>
  </r>
  <r>
    <s v="TX501757"/>
    <x v="9"/>
    <x v="0"/>
    <x v="823"/>
    <n v="76"/>
    <d v="2025-03-06T00:00:00"/>
    <d v="2025-03-10T00:00:00"/>
    <x v="3"/>
    <x v="2"/>
    <x v="2"/>
    <x v="0"/>
    <x v="17"/>
    <x v="5"/>
    <x v="9"/>
    <x v="3"/>
  </r>
  <r>
    <s v="TX501758"/>
    <x v="1"/>
    <x v="1"/>
    <x v="424"/>
    <n v="103.8"/>
    <d v="2025-03-06T00:00:00"/>
    <d v="2025-03-07T00:00:00"/>
    <x v="1"/>
    <x v="1"/>
    <x v="2"/>
    <x v="0"/>
    <x v="26"/>
    <x v="3"/>
    <x v="9"/>
    <x v="1"/>
  </r>
  <r>
    <s v="TX501759"/>
    <x v="2"/>
    <x v="1"/>
    <x v="824"/>
    <n v="186.8"/>
    <d v="2025-03-06T00:00:00"/>
    <d v="2025-03-13T00:00:00"/>
    <x v="1"/>
    <x v="0"/>
    <x v="3"/>
    <x v="0"/>
    <x v="11"/>
    <x v="6"/>
    <x v="9"/>
    <x v="1"/>
  </r>
  <r>
    <s v="TX501760"/>
    <x v="7"/>
    <x v="13"/>
    <x v="607"/>
    <n v="184.8"/>
    <d v="2025-03-06T00:00:00"/>
    <d v="2025-03-09T00:00:00"/>
    <x v="2"/>
    <x v="1"/>
    <x v="0"/>
    <x v="0"/>
    <x v="11"/>
    <x v="2"/>
    <x v="9"/>
    <x v="2"/>
  </r>
  <r>
    <s v="TX501761"/>
    <x v="2"/>
    <x v="0"/>
    <x v="825"/>
    <n v="143.19999999999999"/>
    <d v="2025-03-06T00:00:00"/>
    <d v="2025-03-09T00:00:00"/>
    <x v="1"/>
    <x v="2"/>
    <x v="0"/>
    <x v="0"/>
    <x v="11"/>
    <x v="2"/>
    <x v="9"/>
    <x v="1"/>
  </r>
  <r>
    <s v="TX501762"/>
    <x v="6"/>
    <x v="5"/>
    <x v="664"/>
    <n v="444.4"/>
    <d v="2025-03-06T00:00:00"/>
    <d v="2025-03-08T00:00:00"/>
    <x v="1"/>
    <x v="2"/>
    <x v="2"/>
    <x v="0"/>
    <x v="18"/>
    <x v="1"/>
    <x v="9"/>
    <x v="1"/>
  </r>
  <r>
    <s v="TX501763"/>
    <x v="2"/>
    <x v="10"/>
    <x v="177"/>
    <n v="2498.5"/>
    <d v="2025-03-06T00:00:00"/>
    <d v="2025-03-08T00:00:00"/>
    <x v="1"/>
    <x v="1"/>
    <x v="1"/>
    <x v="0"/>
    <x v="18"/>
    <x v="1"/>
    <x v="9"/>
    <x v="1"/>
  </r>
  <r>
    <s v="TX501764"/>
    <x v="18"/>
    <x v="3"/>
    <x v="480"/>
    <n v="431.2"/>
    <d v="2025-03-06T00:00:00"/>
    <d v="2025-03-07T00:00:00"/>
    <x v="1"/>
    <x v="2"/>
    <x v="0"/>
    <x v="0"/>
    <x v="21"/>
    <x v="3"/>
    <x v="9"/>
    <x v="1"/>
  </r>
  <r>
    <s v="TX501765"/>
    <x v="9"/>
    <x v="9"/>
    <x v="195"/>
    <n v="163.5"/>
    <d v="2025-03-06T00:00:00"/>
    <d v="2025-03-08T00:00:00"/>
    <x v="1"/>
    <x v="2"/>
    <x v="0"/>
    <x v="0"/>
    <x v="1"/>
    <x v="1"/>
    <x v="9"/>
    <x v="1"/>
  </r>
  <r>
    <s v="TX501766"/>
    <x v="0"/>
    <x v="7"/>
    <x v="826"/>
    <n v="137"/>
    <d v="2025-03-06T00:00:00"/>
    <d v="2025-03-07T00:00:00"/>
    <x v="1"/>
    <x v="0"/>
    <x v="2"/>
    <x v="0"/>
    <x v="3"/>
    <x v="3"/>
    <x v="9"/>
    <x v="1"/>
  </r>
  <r>
    <s v="TX501767"/>
    <x v="0"/>
    <x v="12"/>
    <x v="201"/>
    <n v="128.4"/>
    <d v="2025-03-06T00:00:00"/>
    <d v="2025-03-07T00:00:00"/>
    <x v="1"/>
    <x v="4"/>
    <x v="1"/>
    <x v="0"/>
    <x v="3"/>
    <x v="3"/>
    <x v="9"/>
    <x v="1"/>
  </r>
  <r>
    <s v="TX501768"/>
    <x v="14"/>
    <x v="8"/>
    <x v="608"/>
    <n v="96"/>
    <d v="2025-03-06T00:00:00"/>
    <d v="2025-03-07T00:00:00"/>
    <x v="1"/>
    <x v="1"/>
    <x v="0"/>
    <x v="0"/>
    <x v="24"/>
    <x v="3"/>
    <x v="9"/>
    <x v="1"/>
  </r>
  <r>
    <s v="TX501769"/>
    <x v="12"/>
    <x v="0"/>
    <x v="780"/>
    <n v="64.3"/>
    <d v="2025-03-06T00:00:00"/>
    <d v="2025-03-08T00:00:00"/>
    <x v="2"/>
    <x v="2"/>
    <x v="2"/>
    <x v="0"/>
    <x v="6"/>
    <x v="1"/>
    <x v="9"/>
    <x v="2"/>
  </r>
  <r>
    <s v="TX501770"/>
    <x v="1"/>
    <x v="2"/>
    <x v="296"/>
    <n v="174.60000000000002"/>
    <d v="2025-03-06T00:00:00"/>
    <d v="2025-03-08T00:00:00"/>
    <x v="2"/>
    <x v="1"/>
    <x v="2"/>
    <x v="0"/>
    <x v="6"/>
    <x v="1"/>
    <x v="9"/>
    <x v="2"/>
  </r>
  <r>
    <s v="TX501771"/>
    <x v="6"/>
    <x v="12"/>
    <x v="737"/>
    <n v="236.8"/>
    <d v="2025-03-06T00:00:00"/>
    <d v="2025-03-06T00:00:00"/>
    <x v="1"/>
    <x v="1"/>
    <x v="2"/>
    <x v="0"/>
    <x v="6"/>
    <x v="7"/>
    <x v="9"/>
    <x v="1"/>
  </r>
  <r>
    <s v="TX501772"/>
    <x v="10"/>
    <x v="5"/>
    <x v="533"/>
    <n v="391.6"/>
    <d v="2025-03-06T00:00:00"/>
    <d v="2025-03-13T00:00:00"/>
    <x v="1"/>
    <x v="0"/>
    <x v="2"/>
    <x v="0"/>
    <x v="8"/>
    <x v="6"/>
    <x v="9"/>
    <x v="1"/>
  </r>
  <r>
    <s v="TX501773"/>
    <x v="16"/>
    <x v="8"/>
    <x v="571"/>
    <n v="296"/>
    <d v="2025-03-06T00:00:00"/>
    <d v="2025-03-10T00:00:00"/>
    <x v="2"/>
    <x v="2"/>
    <x v="1"/>
    <x v="0"/>
    <x v="8"/>
    <x v="5"/>
    <x v="9"/>
    <x v="2"/>
  </r>
  <r>
    <s v="TX501774"/>
    <x v="1"/>
    <x v="15"/>
    <x v="827"/>
    <n v="1050.3999999999999"/>
    <d v="2025-03-06T00:00:00"/>
    <d v="2025-03-08T00:00:00"/>
    <x v="2"/>
    <x v="0"/>
    <x v="0"/>
    <x v="0"/>
    <x v="8"/>
    <x v="1"/>
    <x v="9"/>
    <x v="2"/>
  </r>
  <r>
    <s v="TX501775"/>
    <x v="8"/>
    <x v="1"/>
    <x v="56"/>
    <n v="126.4"/>
    <d v="2025-03-06T00:00:00"/>
    <d v="2025-03-07T00:00:00"/>
    <x v="1"/>
    <x v="0"/>
    <x v="1"/>
    <x v="0"/>
    <x v="8"/>
    <x v="3"/>
    <x v="9"/>
    <x v="1"/>
  </r>
  <r>
    <s v="TX501776"/>
    <x v="3"/>
    <x v="1"/>
    <x v="363"/>
    <n v="81.599999999999994"/>
    <d v="2025-03-06T00:00:00"/>
    <d v="2025-03-08T00:00:00"/>
    <x v="1"/>
    <x v="0"/>
    <x v="1"/>
    <x v="0"/>
    <x v="17"/>
    <x v="1"/>
    <x v="9"/>
    <x v="1"/>
  </r>
  <r>
    <s v="TX501777"/>
    <x v="13"/>
    <x v="13"/>
    <x v="679"/>
    <n v="154.19999999999999"/>
    <d v="2025-03-06T00:00:00"/>
    <d v="2025-03-08T00:00:00"/>
    <x v="1"/>
    <x v="4"/>
    <x v="0"/>
    <x v="0"/>
    <x v="18"/>
    <x v="1"/>
    <x v="9"/>
    <x v="1"/>
  </r>
  <r>
    <s v="TX501778"/>
    <x v="16"/>
    <x v="1"/>
    <x v="308"/>
    <n v="99.8"/>
    <d v="2025-03-06T00:00:00"/>
    <d v="2025-03-09T00:00:00"/>
    <x v="1"/>
    <x v="0"/>
    <x v="0"/>
    <x v="0"/>
    <x v="20"/>
    <x v="2"/>
    <x v="9"/>
    <x v="1"/>
  </r>
  <r>
    <s v="TX501779"/>
    <x v="8"/>
    <x v="1"/>
    <x v="736"/>
    <n v="40.4"/>
    <d v="2025-03-06T00:00:00"/>
    <d v="2025-03-08T00:00:00"/>
    <x v="2"/>
    <x v="3"/>
    <x v="0"/>
    <x v="0"/>
    <x v="21"/>
    <x v="1"/>
    <x v="9"/>
    <x v="2"/>
  </r>
  <r>
    <s v="TX501780"/>
    <x v="6"/>
    <x v="2"/>
    <x v="72"/>
    <n v="145.19999999999999"/>
    <d v="2025-03-06T00:00:00"/>
    <d v="2025-03-11T00:00:00"/>
    <x v="2"/>
    <x v="0"/>
    <x v="2"/>
    <x v="0"/>
    <x v="21"/>
    <x v="0"/>
    <x v="9"/>
    <x v="2"/>
  </r>
  <r>
    <s v="TX501781"/>
    <x v="6"/>
    <x v="1"/>
    <x v="328"/>
    <n v="162"/>
    <d v="2025-03-06T00:00:00"/>
    <d v="2025-03-07T00:00:00"/>
    <x v="2"/>
    <x v="1"/>
    <x v="2"/>
    <x v="0"/>
    <x v="21"/>
    <x v="3"/>
    <x v="9"/>
    <x v="2"/>
  </r>
  <r>
    <s v="TX501782"/>
    <x v="8"/>
    <x v="13"/>
    <x v="157"/>
    <n v="119.39999999999999"/>
    <d v="2025-03-06T00:00:00"/>
    <d v="2025-03-09T00:00:00"/>
    <x v="2"/>
    <x v="0"/>
    <x v="1"/>
    <x v="0"/>
    <x v="22"/>
    <x v="2"/>
    <x v="9"/>
    <x v="2"/>
  </r>
  <r>
    <s v="TX501783"/>
    <x v="4"/>
    <x v="12"/>
    <x v="380"/>
    <n v="128.80000000000001"/>
    <d v="2025-03-06T00:00:00"/>
    <d v="2025-03-16T00:00:00"/>
    <x v="1"/>
    <x v="0"/>
    <x v="0"/>
    <x v="0"/>
    <x v="22"/>
    <x v="14"/>
    <x v="9"/>
    <x v="1"/>
  </r>
  <r>
    <s v="TX501784"/>
    <x v="5"/>
    <x v="2"/>
    <x v="828"/>
    <n v="230.39999999999998"/>
    <d v="2025-03-06T00:00:00"/>
    <d v="2025-03-07T00:00:00"/>
    <x v="2"/>
    <x v="0"/>
    <x v="1"/>
    <x v="0"/>
    <x v="3"/>
    <x v="3"/>
    <x v="9"/>
    <x v="2"/>
  </r>
  <r>
    <s v="TX501785"/>
    <x v="6"/>
    <x v="1"/>
    <x v="245"/>
    <n v="83.8"/>
    <d v="2025-03-06T00:00:00"/>
    <d v="2025-03-08T00:00:00"/>
    <x v="2"/>
    <x v="0"/>
    <x v="0"/>
    <x v="0"/>
    <x v="3"/>
    <x v="1"/>
    <x v="9"/>
    <x v="2"/>
  </r>
  <r>
    <s v="TX501786"/>
    <x v="0"/>
    <x v="3"/>
    <x v="324"/>
    <n v="238"/>
    <d v="2025-03-06T00:00:00"/>
    <d v="2025-03-08T00:00:00"/>
    <x v="2"/>
    <x v="1"/>
    <x v="2"/>
    <x v="0"/>
    <x v="3"/>
    <x v="1"/>
    <x v="9"/>
    <x v="2"/>
  </r>
  <r>
    <s v="TX501787"/>
    <x v="7"/>
    <x v="3"/>
    <x v="148"/>
    <n v="429.09999999999997"/>
    <d v="2025-03-06T00:00:00"/>
    <d v="2025-03-06T00:00:00"/>
    <x v="2"/>
    <x v="4"/>
    <x v="2"/>
    <x v="0"/>
    <x v="3"/>
    <x v="7"/>
    <x v="9"/>
    <x v="2"/>
  </r>
  <r>
    <s v="TX501788"/>
    <x v="9"/>
    <x v="0"/>
    <x v="86"/>
    <n v="54.7"/>
    <d v="2025-03-07T00:00:00"/>
    <d v="2025-03-08T00:00:00"/>
    <x v="1"/>
    <x v="0"/>
    <x v="1"/>
    <x v="0"/>
    <x v="3"/>
    <x v="3"/>
    <x v="9"/>
    <x v="1"/>
  </r>
  <r>
    <s v="TX501789"/>
    <x v="6"/>
    <x v="7"/>
    <x v="288"/>
    <n v="847"/>
    <d v="2025-03-07T00:00:00"/>
    <d v="2025-03-11T00:00:00"/>
    <x v="2"/>
    <x v="0"/>
    <x v="0"/>
    <x v="0"/>
    <x v="3"/>
    <x v="5"/>
    <x v="9"/>
    <x v="2"/>
  </r>
  <r>
    <s v="TX501790"/>
    <x v="1"/>
    <x v="2"/>
    <x v="824"/>
    <n v="280.20000000000005"/>
    <d v="2025-03-07T00:00:00"/>
    <d v="2025-03-11T00:00:00"/>
    <x v="2"/>
    <x v="3"/>
    <x v="0"/>
    <x v="0"/>
    <x v="3"/>
    <x v="5"/>
    <x v="9"/>
    <x v="2"/>
  </r>
  <r>
    <s v="TX501791"/>
    <x v="8"/>
    <x v="9"/>
    <x v="49"/>
    <n v="135"/>
    <d v="2025-03-07T00:00:00"/>
    <d v="2025-03-10T00:00:00"/>
    <x v="1"/>
    <x v="0"/>
    <x v="1"/>
    <x v="0"/>
    <x v="3"/>
    <x v="2"/>
    <x v="9"/>
    <x v="1"/>
  </r>
  <r>
    <s v="TX501792"/>
    <x v="0"/>
    <x v="12"/>
    <x v="0"/>
    <n v="43.6"/>
    <d v="2025-03-07T00:00:00"/>
    <d v="2025-03-08T00:00:00"/>
    <x v="1"/>
    <x v="2"/>
    <x v="0"/>
    <x v="0"/>
    <x v="3"/>
    <x v="3"/>
    <x v="9"/>
    <x v="1"/>
  </r>
  <r>
    <s v="TX501793"/>
    <x v="16"/>
    <x v="2"/>
    <x v="196"/>
    <n v="144"/>
    <d v="2025-03-07T00:00:00"/>
    <d v="2025-03-12T00:00:00"/>
    <x v="2"/>
    <x v="4"/>
    <x v="0"/>
    <x v="0"/>
    <x v="3"/>
    <x v="0"/>
    <x v="9"/>
    <x v="2"/>
  </r>
  <r>
    <s v="TX501794"/>
    <x v="5"/>
    <x v="1"/>
    <x v="469"/>
    <n v="135.80000000000001"/>
    <d v="2025-03-07T00:00:00"/>
    <d v="2025-03-08T00:00:00"/>
    <x v="1"/>
    <x v="0"/>
    <x v="2"/>
    <x v="0"/>
    <x v="23"/>
    <x v="3"/>
    <x v="9"/>
    <x v="1"/>
  </r>
  <r>
    <s v="TX501795"/>
    <x v="4"/>
    <x v="2"/>
    <x v="307"/>
    <n v="108"/>
    <d v="2025-03-07T00:00:00"/>
    <d v="2025-03-08T00:00:00"/>
    <x v="1"/>
    <x v="1"/>
    <x v="0"/>
    <x v="0"/>
    <x v="6"/>
    <x v="3"/>
    <x v="9"/>
    <x v="1"/>
  </r>
  <r>
    <s v="TX501796"/>
    <x v="2"/>
    <x v="0"/>
    <x v="795"/>
    <n v="128.80000000000001"/>
    <d v="2025-03-07T00:00:00"/>
    <d v="2025-03-08T00:00:00"/>
    <x v="1"/>
    <x v="4"/>
    <x v="2"/>
    <x v="0"/>
    <x v="6"/>
    <x v="3"/>
    <x v="9"/>
    <x v="1"/>
  </r>
  <r>
    <s v="TX501797"/>
    <x v="18"/>
    <x v="3"/>
    <x v="57"/>
    <n v="233.09999999999997"/>
    <d v="2025-03-07T00:00:00"/>
    <d v="2025-03-08T00:00:00"/>
    <x v="2"/>
    <x v="3"/>
    <x v="0"/>
    <x v="0"/>
    <x v="8"/>
    <x v="3"/>
    <x v="9"/>
    <x v="2"/>
  </r>
  <r>
    <s v="TX501798"/>
    <x v="10"/>
    <x v="2"/>
    <x v="256"/>
    <n v="113.39999999999999"/>
    <d v="2025-03-07T00:00:00"/>
    <d v="2025-03-09T00:00:00"/>
    <x v="1"/>
    <x v="1"/>
    <x v="2"/>
    <x v="0"/>
    <x v="8"/>
    <x v="1"/>
    <x v="9"/>
    <x v="1"/>
  </r>
  <r>
    <s v="TX501799"/>
    <x v="5"/>
    <x v="2"/>
    <x v="269"/>
    <n v="78"/>
    <d v="2025-03-07T00:00:00"/>
    <d v="2025-03-12T00:00:00"/>
    <x v="2"/>
    <x v="0"/>
    <x v="0"/>
    <x v="0"/>
    <x v="8"/>
    <x v="0"/>
    <x v="9"/>
    <x v="2"/>
  </r>
  <r>
    <s v="TX501800"/>
    <x v="8"/>
    <x v="10"/>
    <x v="805"/>
    <n v="537.70000000000005"/>
    <d v="2025-03-07T00:00:00"/>
    <d v="2025-03-08T00:00:00"/>
    <x v="2"/>
    <x v="3"/>
    <x v="4"/>
    <x v="0"/>
    <x v="8"/>
    <x v="3"/>
    <x v="9"/>
    <x v="2"/>
  </r>
  <r>
    <s v="TX501801"/>
    <x v="8"/>
    <x v="12"/>
    <x v="375"/>
    <n v="125.2"/>
    <d v="2025-03-07T00:00:00"/>
    <d v="2025-03-07T00:00:00"/>
    <x v="2"/>
    <x v="0"/>
    <x v="0"/>
    <x v="0"/>
    <x v="8"/>
    <x v="7"/>
    <x v="9"/>
    <x v="2"/>
  </r>
  <r>
    <s v="TX501802"/>
    <x v="7"/>
    <x v="2"/>
    <x v="181"/>
    <n v="208.5"/>
    <d v="2025-03-07T00:00:00"/>
    <d v="2025-03-08T00:00:00"/>
    <x v="2"/>
    <x v="3"/>
    <x v="2"/>
    <x v="0"/>
    <x v="8"/>
    <x v="3"/>
    <x v="9"/>
    <x v="2"/>
  </r>
  <r>
    <s v="TX501803"/>
    <x v="0"/>
    <x v="1"/>
    <x v="569"/>
    <n v="33.4"/>
    <d v="2025-03-07T00:00:00"/>
    <d v="2025-03-08T00:00:00"/>
    <x v="2"/>
    <x v="3"/>
    <x v="1"/>
    <x v="0"/>
    <x v="8"/>
    <x v="3"/>
    <x v="9"/>
    <x v="2"/>
  </r>
  <r>
    <s v="TX501804"/>
    <x v="9"/>
    <x v="1"/>
    <x v="829"/>
    <n v="125.2"/>
    <d v="2025-03-07T00:00:00"/>
    <d v="2025-03-08T00:00:00"/>
    <x v="1"/>
    <x v="2"/>
    <x v="2"/>
    <x v="0"/>
    <x v="9"/>
    <x v="3"/>
    <x v="9"/>
    <x v="1"/>
  </r>
  <r>
    <s v="TX501805"/>
    <x v="7"/>
    <x v="0"/>
    <x v="830"/>
    <n v="81.2"/>
    <d v="2025-03-07T00:00:00"/>
    <d v="2025-03-13T00:00:00"/>
    <x v="1"/>
    <x v="4"/>
    <x v="4"/>
    <x v="0"/>
    <x v="9"/>
    <x v="4"/>
    <x v="9"/>
    <x v="1"/>
  </r>
  <r>
    <s v="TX501806"/>
    <x v="0"/>
    <x v="7"/>
    <x v="335"/>
    <n v="127"/>
    <d v="2025-03-07T00:00:00"/>
    <d v="2025-03-08T00:00:00"/>
    <x v="2"/>
    <x v="0"/>
    <x v="2"/>
    <x v="0"/>
    <x v="9"/>
    <x v="3"/>
    <x v="9"/>
    <x v="2"/>
  </r>
  <r>
    <s v="TX501807"/>
    <x v="7"/>
    <x v="12"/>
    <x v="777"/>
    <n v="310.8"/>
    <d v="2025-03-08T00:00:00"/>
    <d v="2025-03-12T00:00:00"/>
    <x v="1"/>
    <x v="1"/>
    <x v="0"/>
    <x v="0"/>
    <x v="11"/>
    <x v="5"/>
    <x v="9"/>
    <x v="1"/>
  </r>
  <r>
    <s v="TX501808"/>
    <x v="5"/>
    <x v="1"/>
    <x v="105"/>
    <n v="74.599999999999994"/>
    <d v="2025-03-08T00:00:00"/>
    <d v="2025-03-09T00:00:00"/>
    <x v="2"/>
    <x v="0"/>
    <x v="2"/>
    <x v="0"/>
    <x v="18"/>
    <x v="3"/>
    <x v="9"/>
    <x v="2"/>
  </r>
  <r>
    <s v="TX501809"/>
    <x v="10"/>
    <x v="12"/>
    <x v="533"/>
    <n v="142.4"/>
    <d v="2025-03-08T00:00:00"/>
    <d v="2025-03-10T00:00:00"/>
    <x v="2"/>
    <x v="1"/>
    <x v="1"/>
    <x v="0"/>
    <x v="19"/>
    <x v="1"/>
    <x v="9"/>
    <x v="2"/>
  </r>
  <r>
    <s v="TX501810"/>
    <x v="2"/>
    <x v="2"/>
    <x v="831"/>
    <n v="285"/>
    <d v="2025-03-08T00:00:00"/>
    <d v="2025-03-12T00:00:00"/>
    <x v="2"/>
    <x v="2"/>
    <x v="2"/>
    <x v="0"/>
    <x v="56"/>
    <x v="5"/>
    <x v="9"/>
    <x v="2"/>
  </r>
  <r>
    <s v="TX501811"/>
    <x v="2"/>
    <x v="12"/>
    <x v="832"/>
    <n v="688.4"/>
    <d v="2025-03-08T00:00:00"/>
    <d v="2025-03-12T00:00:00"/>
    <x v="3"/>
    <x v="2"/>
    <x v="2"/>
    <x v="0"/>
    <x v="21"/>
    <x v="5"/>
    <x v="9"/>
    <x v="3"/>
  </r>
  <r>
    <s v="TX501812"/>
    <x v="2"/>
    <x v="1"/>
    <x v="833"/>
    <n v="466"/>
    <d v="2025-03-08T00:00:00"/>
    <d v="2025-03-11T00:00:00"/>
    <x v="2"/>
    <x v="1"/>
    <x v="0"/>
    <x v="0"/>
    <x v="21"/>
    <x v="2"/>
    <x v="9"/>
    <x v="2"/>
  </r>
  <r>
    <s v="TX501813"/>
    <x v="0"/>
    <x v="0"/>
    <x v="347"/>
    <n v="43.5"/>
    <d v="2025-03-08T00:00:00"/>
    <d v="2025-03-09T00:00:00"/>
    <x v="2"/>
    <x v="2"/>
    <x v="2"/>
    <x v="0"/>
    <x v="21"/>
    <x v="3"/>
    <x v="9"/>
    <x v="2"/>
  </r>
  <r>
    <s v="TX501814"/>
    <x v="9"/>
    <x v="1"/>
    <x v="134"/>
    <n v="95.6"/>
    <d v="2025-03-08T00:00:00"/>
    <d v="2025-03-11T00:00:00"/>
    <x v="1"/>
    <x v="4"/>
    <x v="2"/>
    <x v="0"/>
    <x v="1"/>
    <x v="2"/>
    <x v="9"/>
    <x v="1"/>
  </r>
  <r>
    <s v="TX501815"/>
    <x v="12"/>
    <x v="1"/>
    <x v="834"/>
    <n v="131.6"/>
    <d v="2025-03-08T00:00:00"/>
    <d v="2025-03-10T00:00:00"/>
    <x v="2"/>
    <x v="0"/>
    <x v="3"/>
    <x v="0"/>
    <x v="33"/>
    <x v="1"/>
    <x v="9"/>
    <x v="2"/>
  </r>
  <r>
    <s v="TX501816"/>
    <x v="15"/>
    <x v="5"/>
    <x v="26"/>
    <n v="425.70000000000005"/>
    <d v="2025-03-08T00:00:00"/>
    <d v="2025-03-08T00:00:00"/>
    <x v="1"/>
    <x v="0"/>
    <x v="0"/>
    <x v="0"/>
    <x v="22"/>
    <x v="7"/>
    <x v="9"/>
    <x v="1"/>
  </r>
  <r>
    <s v="TX501817"/>
    <x v="3"/>
    <x v="12"/>
    <x v="740"/>
    <n v="222.8"/>
    <d v="2025-03-08T00:00:00"/>
    <d v="2025-03-10T00:00:00"/>
    <x v="3"/>
    <x v="0"/>
    <x v="1"/>
    <x v="0"/>
    <x v="22"/>
    <x v="1"/>
    <x v="9"/>
    <x v="3"/>
  </r>
  <r>
    <s v="TX501818"/>
    <x v="7"/>
    <x v="1"/>
    <x v="835"/>
    <n v="204.8"/>
    <d v="2025-03-08T00:00:00"/>
    <d v="2025-03-08T00:00:00"/>
    <x v="2"/>
    <x v="1"/>
    <x v="0"/>
    <x v="0"/>
    <x v="3"/>
    <x v="7"/>
    <x v="9"/>
    <x v="2"/>
  </r>
  <r>
    <s v="TX501819"/>
    <x v="1"/>
    <x v="0"/>
    <x v="116"/>
    <n v="92"/>
    <d v="2025-03-08T00:00:00"/>
    <d v="2025-03-12T00:00:00"/>
    <x v="0"/>
    <x v="2"/>
    <x v="0"/>
    <x v="0"/>
    <x v="3"/>
    <x v="5"/>
    <x v="9"/>
    <x v="0"/>
  </r>
  <r>
    <s v="TX501820"/>
    <x v="6"/>
    <x v="12"/>
    <x v="836"/>
    <n v="303.60000000000002"/>
    <d v="2025-03-08T00:00:00"/>
    <d v="2025-03-10T00:00:00"/>
    <x v="2"/>
    <x v="1"/>
    <x v="0"/>
    <x v="0"/>
    <x v="3"/>
    <x v="1"/>
    <x v="9"/>
    <x v="2"/>
  </r>
  <r>
    <s v="TX501821"/>
    <x v="1"/>
    <x v="12"/>
    <x v="310"/>
    <n v="144.80000000000001"/>
    <d v="2025-03-08T00:00:00"/>
    <d v="2025-03-09T00:00:00"/>
    <x v="2"/>
    <x v="1"/>
    <x v="0"/>
    <x v="0"/>
    <x v="3"/>
    <x v="3"/>
    <x v="9"/>
    <x v="2"/>
  </r>
  <r>
    <s v="TX501822"/>
    <x v="6"/>
    <x v="45"/>
    <x v="5"/>
    <n v="7264.5"/>
    <d v="2025-03-08T00:00:00"/>
    <d v="2025-03-10T00:00:00"/>
    <x v="0"/>
    <x v="3"/>
    <x v="0"/>
    <x v="0"/>
    <x v="3"/>
    <x v="1"/>
    <x v="9"/>
    <x v="0"/>
  </r>
  <r>
    <s v="TX501823"/>
    <x v="19"/>
    <x v="4"/>
    <x v="515"/>
    <n v="628.79999999999995"/>
    <d v="2025-03-08T00:00:00"/>
    <d v="2025-03-08T00:00:00"/>
    <x v="1"/>
    <x v="2"/>
    <x v="0"/>
    <x v="0"/>
    <x v="3"/>
    <x v="7"/>
    <x v="9"/>
    <x v="1"/>
  </r>
  <r>
    <s v="TX501824"/>
    <x v="12"/>
    <x v="2"/>
    <x v="181"/>
    <n v="208.5"/>
    <d v="2025-03-08T00:00:00"/>
    <d v="2025-03-09T00:00:00"/>
    <x v="3"/>
    <x v="4"/>
    <x v="0"/>
    <x v="0"/>
    <x v="3"/>
    <x v="3"/>
    <x v="9"/>
    <x v="3"/>
  </r>
  <r>
    <s v="TX501825"/>
    <x v="0"/>
    <x v="0"/>
    <x v="83"/>
    <n v="15.5"/>
    <d v="2025-03-08T00:00:00"/>
    <d v="2025-03-10T00:00:00"/>
    <x v="1"/>
    <x v="0"/>
    <x v="0"/>
    <x v="0"/>
    <x v="3"/>
    <x v="1"/>
    <x v="9"/>
    <x v="1"/>
  </r>
  <r>
    <s v="TX501826"/>
    <x v="4"/>
    <x v="12"/>
    <x v="200"/>
    <n v="140.80000000000001"/>
    <d v="2025-03-08T00:00:00"/>
    <d v="2025-03-09T00:00:00"/>
    <x v="2"/>
    <x v="2"/>
    <x v="2"/>
    <x v="0"/>
    <x v="3"/>
    <x v="3"/>
    <x v="9"/>
    <x v="2"/>
  </r>
  <r>
    <s v="TX501827"/>
    <x v="8"/>
    <x v="13"/>
    <x v="292"/>
    <n v="207.60000000000002"/>
    <d v="2025-03-08T00:00:00"/>
    <d v="2025-03-09T00:00:00"/>
    <x v="0"/>
    <x v="0"/>
    <x v="1"/>
    <x v="0"/>
    <x v="3"/>
    <x v="3"/>
    <x v="9"/>
    <x v="0"/>
  </r>
  <r>
    <s v="TX501828"/>
    <x v="4"/>
    <x v="0"/>
    <x v="210"/>
    <n v="21.3"/>
    <d v="2025-03-09T00:00:00"/>
    <d v="2025-03-10T00:00:00"/>
    <x v="1"/>
    <x v="2"/>
    <x v="1"/>
    <x v="0"/>
    <x v="3"/>
    <x v="3"/>
    <x v="10"/>
    <x v="1"/>
  </r>
  <r>
    <s v="TX501829"/>
    <x v="6"/>
    <x v="1"/>
    <x v="837"/>
    <n v="273"/>
    <d v="2025-03-09T00:00:00"/>
    <d v="2025-03-15T00:00:00"/>
    <x v="2"/>
    <x v="0"/>
    <x v="0"/>
    <x v="0"/>
    <x v="37"/>
    <x v="4"/>
    <x v="10"/>
    <x v="2"/>
  </r>
  <r>
    <s v="TX501830"/>
    <x v="9"/>
    <x v="3"/>
    <x v="630"/>
    <n v="214.9"/>
    <d v="2025-03-09T00:00:00"/>
    <d v="2025-03-10T00:00:00"/>
    <x v="1"/>
    <x v="2"/>
    <x v="2"/>
    <x v="0"/>
    <x v="25"/>
    <x v="3"/>
    <x v="10"/>
    <x v="1"/>
  </r>
  <r>
    <s v="TX501831"/>
    <x v="1"/>
    <x v="1"/>
    <x v="480"/>
    <n v="123.2"/>
    <d v="2025-03-09T00:00:00"/>
    <d v="2025-03-10T00:00:00"/>
    <x v="2"/>
    <x v="2"/>
    <x v="2"/>
    <x v="0"/>
    <x v="23"/>
    <x v="3"/>
    <x v="10"/>
    <x v="2"/>
  </r>
  <r>
    <s v="TX501832"/>
    <x v="6"/>
    <x v="12"/>
    <x v="352"/>
    <n v="217.2"/>
    <d v="2025-03-09T00:00:00"/>
    <d v="2025-03-11T00:00:00"/>
    <x v="0"/>
    <x v="4"/>
    <x v="0"/>
    <x v="0"/>
    <x v="7"/>
    <x v="1"/>
    <x v="10"/>
    <x v="0"/>
  </r>
  <r>
    <s v="TX501833"/>
    <x v="1"/>
    <x v="1"/>
    <x v="369"/>
    <n v="88.2"/>
    <d v="2025-03-09T00:00:00"/>
    <d v="2025-03-21T00:00:00"/>
    <x v="2"/>
    <x v="0"/>
    <x v="2"/>
    <x v="0"/>
    <x v="8"/>
    <x v="13"/>
    <x v="10"/>
    <x v="2"/>
  </r>
  <r>
    <s v="TX501834"/>
    <x v="8"/>
    <x v="12"/>
    <x v="347"/>
    <n v="174"/>
    <d v="2025-03-09T00:00:00"/>
    <d v="2025-03-15T00:00:00"/>
    <x v="1"/>
    <x v="3"/>
    <x v="0"/>
    <x v="0"/>
    <x v="8"/>
    <x v="4"/>
    <x v="10"/>
    <x v="1"/>
  </r>
  <r>
    <s v="TX501835"/>
    <x v="8"/>
    <x v="2"/>
    <x v="297"/>
    <n v="144.60000000000002"/>
    <d v="2025-03-09T00:00:00"/>
    <d v="2025-03-13T00:00:00"/>
    <x v="1"/>
    <x v="3"/>
    <x v="1"/>
    <x v="0"/>
    <x v="8"/>
    <x v="5"/>
    <x v="10"/>
    <x v="1"/>
  </r>
  <r>
    <s v="TX501836"/>
    <x v="19"/>
    <x v="0"/>
    <x v="826"/>
    <n v="13.7"/>
    <d v="2025-03-09T00:00:00"/>
    <d v="2025-03-10T00:00:00"/>
    <x v="2"/>
    <x v="2"/>
    <x v="2"/>
    <x v="0"/>
    <x v="8"/>
    <x v="3"/>
    <x v="10"/>
    <x v="2"/>
  </r>
  <r>
    <s v="TX501837"/>
    <x v="2"/>
    <x v="1"/>
    <x v="792"/>
    <n v="221"/>
    <d v="2025-03-09T00:00:00"/>
    <d v="2025-03-10T00:00:00"/>
    <x v="2"/>
    <x v="0"/>
    <x v="1"/>
    <x v="0"/>
    <x v="8"/>
    <x v="3"/>
    <x v="10"/>
    <x v="2"/>
  </r>
  <r>
    <s v="TX501838"/>
    <x v="8"/>
    <x v="2"/>
    <x v="269"/>
    <n v="78"/>
    <d v="2025-03-09T00:00:00"/>
    <d v="2025-03-14T00:00:00"/>
    <x v="2"/>
    <x v="1"/>
    <x v="1"/>
    <x v="0"/>
    <x v="8"/>
    <x v="0"/>
    <x v="10"/>
    <x v="2"/>
  </r>
  <r>
    <s v="TX501839"/>
    <x v="2"/>
    <x v="7"/>
    <x v="838"/>
    <n v="1407"/>
    <d v="2025-03-09T00:00:00"/>
    <d v="2025-03-15T00:00:00"/>
    <x v="1"/>
    <x v="3"/>
    <x v="1"/>
    <x v="0"/>
    <x v="8"/>
    <x v="4"/>
    <x v="10"/>
    <x v="1"/>
  </r>
  <r>
    <s v="TX501840"/>
    <x v="17"/>
    <x v="1"/>
    <x v="52"/>
    <n v="83.4"/>
    <d v="2025-03-09T00:00:00"/>
    <d v="2025-03-17T00:00:00"/>
    <x v="2"/>
    <x v="0"/>
    <x v="4"/>
    <x v="0"/>
    <x v="8"/>
    <x v="9"/>
    <x v="10"/>
    <x v="2"/>
  </r>
  <r>
    <s v="TX501841"/>
    <x v="2"/>
    <x v="1"/>
    <x v="839"/>
    <n v="270.2"/>
    <d v="2025-03-09T00:00:00"/>
    <d v="2025-03-10T00:00:00"/>
    <x v="1"/>
    <x v="0"/>
    <x v="2"/>
    <x v="0"/>
    <x v="17"/>
    <x v="3"/>
    <x v="10"/>
    <x v="1"/>
  </r>
  <r>
    <s v="TX501842"/>
    <x v="12"/>
    <x v="32"/>
    <x v="840"/>
    <n v="2101"/>
    <d v="2025-03-09T00:00:00"/>
    <d v="2025-03-10T00:00:00"/>
    <x v="2"/>
    <x v="4"/>
    <x v="4"/>
    <x v="0"/>
    <x v="26"/>
    <x v="3"/>
    <x v="10"/>
    <x v="2"/>
  </r>
  <r>
    <s v="TX501843"/>
    <x v="15"/>
    <x v="0"/>
    <x v="423"/>
    <n v="25.5"/>
    <d v="2025-03-09T00:00:00"/>
    <d v="2025-03-12T00:00:00"/>
    <x v="0"/>
    <x v="2"/>
    <x v="2"/>
    <x v="0"/>
    <x v="11"/>
    <x v="2"/>
    <x v="10"/>
    <x v="0"/>
  </r>
  <r>
    <s v="TX501844"/>
    <x v="1"/>
    <x v="0"/>
    <x v="325"/>
    <n v="42.6"/>
    <d v="2025-03-09T00:00:00"/>
    <d v="2025-03-13T00:00:00"/>
    <x v="2"/>
    <x v="0"/>
    <x v="0"/>
    <x v="0"/>
    <x v="11"/>
    <x v="5"/>
    <x v="10"/>
    <x v="2"/>
  </r>
  <r>
    <s v="TX501845"/>
    <x v="8"/>
    <x v="20"/>
    <x v="498"/>
    <n v="486"/>
    <d v="2025-03-09T00:00:00"/>
    <d v="2025-03-10T00:00:00"/>
    <x v="1"/>
    <x v="1"/>
    <x v="1"/>
    <x v="0"/>
    <x v="11"/>
    <x v="3"/>
    <x v="10"/>
    <x v="1"/>
  </r>
  <r>
    <s v="TX501846"/>
    <x v="4"/>
    <x v="12"/>
    <x v="736"/>
    <n v="80.8"/>
    <d v="2025-03-09T00:00:00"/>
    <d v="2025-03-10T00:00:00"/>
    <x v="3"/>
    <x v="2"/>
    <x v="0"/>
    <x v="0"/>
    <x v="11"/>
    <x v="3"/>
    <x v="10"/>
    <x v="3"/>
  </r>
  <r>
    <s v="TX501847"/>
    <x v="16"/>
    <x v="2"/>
    <x v="166"/>
    <n v="157.5"/>
    <d v="2025-03-09T00:00:00"/>
    <d v="2025-03-14T00:00:00"/>
    <x v="2"/>
    <x v="4"/>
    <x v="0"/>
    <x v="0"/>
    <x v="18"/>
    <x v="0"/>
    <x v="10"/>
    <x v="2"/>
  </r>
  <r>
    <s v="TX501848"/>
    <x v="2"/>
    <x v="9"/>
    <x v="316"/>
    <n v="299.5"/>
    <d v="2025-03-09T00:00:00"/>
    <d v="2025-03-11T00:00:00"/>
    <x v="2"/>
    <x v="2"/>
    <x v="0"/>
    <x v="0"/>
    <x v="19"/>
    <x v="1"/>
    <x v="10"/>
    <x v="2"/>
  </r>
  <r>
    <s v="TX501849"/>
    <x v="4"/>
    <x v="1"/>
    <x v="459"/>
    <n v="106.4"/>
    <d v="2025-03-09T00:00:00"/>
    <d v="2025-03-10T00:00:00"/>
    <x v="2"/>
    <x v="1"/>
    <x v="3"/>
    <x v="0"/>
    <x v="20"/>
    <x v="3"/>
    <x v="10"/>
    <x v="2"/>
  </r>
  <r>
    <s v="TX501850"/>
    <x v="2"/>
    <x v="1"/>
    <x v="841"/>
    <n v="120"/>
    <d v="2025-03-09T00:00:00"/>
    <d v="2025-03-15T00:00:00"/>
    <x v="1"/>
    <x v="1"/>
    <x v="2"/>
    <x v="0"/>
    <x v="20"/>
    <x v="4"/>
    <x v="10"/>
    <x v="1"/>
  </r>
  <r>
    <s v="TX501851"/>
    <x v="8"/>
    <x v="2"/>
    <x v="143"/>
    <n v="87.9"/>
    <d v="2025-03-09T00:00:00"/>
    <d v="2025-03-10T00:00:00"/>
    <x v="2"/>
    <x v="4"/>
    <x v="0"/>
    <x v="0"/>
    <x v="13"/>
    <x v="3"/>
    <x v="10"/>
    <x v="2"/>
  </r>
  <r>
    <s v="TX501852"/>
    <x v="12"/>
    <x v="1"/>
    <x v="842"/>
    <n v="110.8"/>
    <d v="2025-03-09T00:00:00"/>
    <d v="2025-03-10T00:00:00"/>
    <x v="2"/>
    <x v="0"/>
    <x v="2"/>
    <x v="0"/>
    <x v="21"/>
    <x v="3"/>
    <x v="10"/>
    <x v="2"/>
  </r>
  <r>
    <s v="TX501853"/>
    <x v="0"/>
    <x v="9"/>
    <x v="260"/>
    <n v="100.5"/>
    <d v="2025-03-09T00:00:00"/>
    <d v="2025-03-11T00:00:00"/>
    <x v="2"/>
    <x v="1"/>
    <x v="2"/>
    <x v="0"/>
    <x v="21"/>
    <x v="1"/>
    <x v="10"/>
    <x v="2"/>
  </r>
  <r>
    <s v="TX501854"/>
    <x v="14"/>
    <x v="9"/>
    <x v="209"/>
    <n v="120"/>
    <d v="2025-03-09T00:00:00"/>
    <d v="2025-03-12T00:00:00"/>
    <x v="1"/>
    <x v="2"/>
    <x v="0"/>
    <x v="0"/>
    <x v="1"/>
    <x v="2"/>
    <x v="10"/>
    <x v="1"/>
  </r>
  <r>
    <s v="TX501855"/>
    <x v="8"/>
    <x v="1"/>
    <x v="1"/>
    <n v="61.2"/>
    <d v="2025-03-10T00:00:00"/>
    <d v="2025-03-12T00:00:00"/>
    <x v="2"/>
    <x v="0"/>
    <x v="0"/>
    <x v="0"/>
    <x v="1"/>
    <x v="1"/>
    <x v="10"/>
    <x v="2"/>
  </r>
  <r>
    <s v="TX501856"/>
    <x v="10"/>
    <x v="9"/>
    <x v="614"/>
    <n v="165"/>
    <d v="2025-03-10T00:00:00"/>
    <d v="2025-03-11T00:00:00"/>
    <x v="1"/>
    <x v="1"/>
    <x v="1"/>
    <x v="0"/>
    <x v="27"/>
    <x v="3"/>
    <x v="10"/>
    <x v="1"/>
  </r>
  <r>
    <s v="TX501857"/>
    <x v="17"/>
    <x v="11"/>
    <x v="624"/>
    <n v="378.90000000000003"/>
    <d v="2025-03-10T00:00:00"/>
    <d v="2025-03-16T00:00:00"/>
    <x v="2"/>
    <x v="2"/>
    <x v="0"/>
    <x v="0"/>
    <x v="44"/>
    <x v="4"/>
    <x v="10"/>
    <x v="2"/>
  </r>
  <r>
    <s v="TX501858"/>
    <x v="6"/>
    <x v="3"/>
    <x v="777"/>
    <n v="543.9"/>
    <d v="2025-03-10T00:00:00"/>
    <d v="2025-03-15T00:00:00"/>
    <x v="2"/>
    <x v="1"/>
    <x v="2"/>
    <x v="0"/>
    <x v="50"/>
    <x v="0"/>
    <x v="10"/>
    <x v="2"/>
  </r>
  <r>
    <s v="TX501859"/>
    <x v="17"/>
    <x v="13"/>
    <x v="188"/>
    <n v="136.19999999999999"/>
    <d v="2025-03-10T00:00:00"/>
    <d v="2025-03-13T00:00:00"/>
    <x v="2"/>
    <x v="2"/>
    <x v="0"/>
    <x v="0"/>
    <x v="3"/>
    <x v="2"/>
    <x v="10"/>
    <x v="2"/>
  </r>
  <r>
    <s v="TX501860"/>
    <x v="2"/>
    <x v="1"/>
    <x v="819"/>
    <n v="266"/>
    <d v="2025-03-10T00:00:00"/>
    <d v="2025-03-10T00:00:00"/>
    <x v="1"/>
    <x v="2"/>
    <x v="2"/>
    <x v="0"/>
    <x v="3"/>
    <x v="7"/>
    <x v="10"/>
    <x v="1"/>
  </r>
  <r>
    <s v="TX501861"/>
    <x v="0"/>
    <x v="1"/>
    <x v="121"/>
    <n v="46.6"/>
    <d v="2025-03-10T00:00:00"/>
    <d v="2025-03-11T00:00:00"/>
    <x v="1"/>
    <x v="1"/>
    <x v="2"/>
    <x v="0"/>
    <x v="3"/>
    <x v="3"/>
    <x v="10"/>
    <x v="1"/>
  </r>
  <r>
    <s v="TX501862"/>
    <x v="8"/>
    <x v="2"/>
    <x v="289"/>
    <n v="62.099999999999994"/>
    <d v="2025-03-10T00:00:00"/>
    <d v="2025-03-12T00:00:00"/>
    <x v="3"/>
    <x v="0"/>
    <x v="2"/>
    <x v="0"/>
    <x v="3"/>
    <x v="1"/>
    <x v="10"/>
    <x v="3"/>
  </r>
  <r>
    <s v="TX501863"/>
    <x v="12"/>
    <x v="1"/>
    <x v="642"/>
    <n v="94"/>
    <d v="2025-03-10T00:00:00"/>
    <d v="2025-03-11T00:00:00"/>
    <x v="1"/>
    <x v="1"/>
    <x v="2"/>
    <x v="0"/>
    <x v="3"/>
    <x v="3"/>
    <x v="10"/>
    <x v="1"/>
  </r>
  <r>
    <s v="TX501864"/>
    <x v="12"/>
    <x v="2"/>
    <x v="751"/>
    <n v="114.60000000000001"/>
    <d v="2025-03-10T00:00:00"/>
    <d v="2025-03-12T00:00:00"/>
    <x v="2"/>
    <x v="2"/>
    <x v="4"/>
    <x v="0"/>
    <x v="3"/>
    <x v="1"/>
    <x v="10"/>
    <x v="2"/>
  </r>
  <r>
    <s v="TX501865"/>
    <x v="9"/>
    <x v="0"/>
    <x v="644"/>
    <n v="39.1"/>
    <d v="2025-03-10T00:00:00"/>
    <d v="2025-03-12T00:00:00"/>
    <x v="2"/>
    <x v="0"/>
    <x v="0"/>
    <x v="0"/>
    <x v="3"/>
    <x v="1"/>
    <x v="10"/>
    <x v="2"/>
  </r>
  <r>
    <s v="TX501866"/>
    <x v="7"/>
    <x v="30"/>
    <x v="495"/>
    <n v="1390"/>
    <d v="2025-03-10T00:00:00"/>
    <d v="2025-03-12T00:00:00"/>
    <x v="1"/>
    <x v="0"/>
    <x v="2"/>
    <x v="0"/>
    <x v="3"/>
    <x v="1"/>
    <x v="10"/>
    <x v="1"/>
  </r>
  <r>
    <s v="TX501867"/>
    <x v="15"/>
    <x v="0"/>
    <x v="39"/>
    <n v="43.1"/>
    <d v="2025-03-10T00:00:00"/>
    <d v="2025-03-10T00:00:00"/>
    <x v="3"/>
    <x v="1"/>
    <x v="2"/>
    <x v="0"/>
    <x v="3"/>
    <x v="7"/>
    <x v="10"/>
    <x v="3"/>
  </r>
  <r>
    <s v="TX501868"/>
    <x v="6"/>
    <x v="12"/>
    <x v="142"/>
    <n v="192.4"/>
    <d v="2025-03-10T00:00:00"/>
    <d v="2025-03-11T00:00:00"/>
    <x v="2"/>
    <x v="4"/>
    <x v="2"/>
    <x v="0"/>
    <x v="3"/>
    <x v="3"/>
    <x v="10"/>
    <x v="2"/>
  </r>
  <r>
    <s v="TX501869"/>
    <x v="4"/>
    <x v="0"/>
    <x v="300"/>
    <n v="42"/>
    <d v="2025-03-10T00:00:00"/>
    <d v="2025-03-11T00:00:00"/>
    <x v="3"/>
    <x v="0"/>
    <x v="0"/>
    <x v="0"/>
    <x v="3"/>
    <x v="3"/>
    <x v="10"/>
    <x v="3"/>
  </r>
  <r>
    <s v="TX501870"/>
    <x v="8"/>
    <x v="9"/>
    <x v="383"/>
    <n v="91.5"/>
    <d v="2025-03-10T00:00:00"/>
    <d v="2025-03-10T00:00:00"/>
    <x v="2"/>
    <x v="2"/>
    <x v="0"/>
    <x v="0"/>
    <x v="3"/>
    <x v="7"/>
    <x v="10"/>
    <x v="2"/>
  </r>
  <r>
    <s v="TX501871"/>
    <x v="10"/>
    <x v="12"/>
    <x v="299"/>
    <n v="181.2"/>
    <d v="2025-03-10T00:00:00"/>
    <d v="2025-03-13T00:00:00"/>
    <x v="2"/>
    <x v="0"/>
    <x v="2"/>
    <x v="0"/>
    <x v="3"/>
    <x v="2"/>
    <x v="10"/>
    <x v="2"/>
  </r>
  <r>
    <s v="TX501872"/>
    <x v="0"/>
    <x v="1"/>
    <x v="843"/>
    <n v="55.2"/>
    <d v="2025-03-10T00:00:00"/>
    <d v="2025-03-12T00:00:00"/>
    <x v="1"/>
    <x v="0"/>
    <x v="2"/>
    <x v="0"/>
    <x v="37"/>
    <x v="1"/>
    <x v="10"/>
    <x v="1"/>
  </r>
  <r>
    <s v="TX501873"/>
    <x v="4"/>
    <x v="9"/>
    <x v="436"/>
    <n v="134.5"/>
    <d v="2025-03-10T00:00:00"/>
    <d v="2025-03-11T00:00:00"/>
    <x v="2"/>
    <x v="2"/>
    <x v="0"/>
    <x v="0"/>
    <x v="25"/>
    <x v="3"/>
    <x v="10"/>
    <x v="2"/>
  </r>
  <r>
    <s v="TX501874"/>
    <x v="2"/>
    <x v="11"/>
    <x v="844"/>
    <n v="741.6"/>
    <d v="2025-03-10T00:00:00"/>
    <d v="2025-03-12T00:00:00"/>
    <x v="3"/>
    <x v="2"/>
    <x v="0"/>
    <x v="0"/>
    <x v="5"/>
    <x v="1"/>
    <x v="10"/>
    <x v="3"/>
  </r>
  <r>
    <s v="TX501875"/>
    <x v="6"/>
    <x v="0"/>
    <x v="74"/>
    <n v="103.7"/>
    <d v="2025-03-10T00:00:00"/>
    <d v="2025-03-12T00:00:00"/>
    <x v="2"/>
    <x v="1"/>
    <x v="0"/>
    <x v="0"/>
    <x v="5"/>
    <x v="1"/>
    <x v="10"/>
    <x v="2"/>
  </r>
  <r>
    <s v="TX501876"/>
    <x v="2"/>
    <x v="1"/>
    <x v="466"/>
    <n v="117.6"/>
    <d v="2025-03-10T00:00:00"/>
    <d v="2025-03-15T00:00:00"/>
    <x v="2"/>
    <x v="1"/>
    <x v="2"/>
    <x v="0"/>
    <x v="6"/>
    <x v="0"/>
    <x v="10"/>
    <x v="2"/>
  </r>
  <r>
    <s v="TX501877"/>
    <x v="13"/>
    <x v="0"/>
    <x v="217"/>
    <n v="31.5"/>
    <d v="2025-03-10T00:00:00"/>
    <d v="2025-03-11T00:00:00"/>
    <x v="2"/>
    <x v="1"/>
    <x v="1"/>
    <x v="0"/>
    <x v="6"/>
    <x v="3"/>
    <x v="10"/>
    <x v="2"/>
  </r>
  <r>
    <s v="TX501878"/>
    <x v="7"/>
    <x v="9"/>
    <x v="78"/>
    <n v="184"/>
    <d v="2025-03-10T00:00:00"/>
    <d v="2025-03-12T00:00:00"/>
    <x v="2"/>
    <x v="0"/>
    <x v="0"/>
    <x v="0"/>
    <x v="8"/>
    <x v="1"/>
    <x v="10"/>
    <x v="2"/>
  </r>
  <r>
    <s v="TX501879"/>
    <x v="3"/>
    <x v="0"/>
    <x v="845"/>
    <n v="84.4"/>
    <d v="2025-03-10T00:00:00"/>
    <d v="2025-03-11T00:00:00"/>
    <x v="2"/>
    <x v="0"/>
    <x v="0"/>
    <x v="0"/>
    <x v="8"/>
    <x v="3"/>
    <x v="10"/>
    <x v="2"/>
  </r>
  <r>
    <s v="TX501880"/>
    <x v="14"/>
    <x v="0"/>
    <x v="613"/>
    <n v="44.7"/>
    <d v="2025-03-10T00:00:00"/>
    <d v="2025-03-11T00:00:00"/>
    <x v="1"/>
    <x v="0"/>
    <x v="1"/>
    <x v="0"/>
    <x v="8"/>
    <x v="3"/>
    <x v="10"/>
    <x v="1"/>
  </r>
  <r>
    <s v="TX501881"/>
    <x v="9"/>
    <x v="8"/>
    <x v="632"/>
    <n v="315.2"/>
    <d v="2025-03-10T00:00:00"/>
    <d v="2025-03-11T00:00:00"/>
    <x v="2"/>
    <x v="1"/>
    <x v="2"/>
    <x v="0"/>
    <x v="8"/>
    <x v="3"/>
    <x v="10"/>
    <x v="2"/>
  </r>
  <r>
    <s v="TX501882"/>
    <x v="11"/>
    <x v="12"/>
    <x v="271"/>
    <n v="139.6"/>
    <d v="2025-03-10T00:00:00"/>
    <d v="2025-03-12T00:00:00"/>
    <x v="2"/>
    <x v="0"/>
    <x v="2"/>
    <x v="0"/>
    <x v="8"/>
    <x v="1"/>
    <x v="10"/>
    <x v="2"/>
  </r>
  <r>
    <s v="TX501883"/>
    <x v="1"/>
    <x v="2"/>
    <x v="556"/>
    <n v="186.89999999999998"/>
    <d v="2025-03-10T00:00:00"/>
    <d v="2025-03-12T00:00:00"/>
    <x v="1"/>
    <x v="4"/>
    <x v="2"/>
    <x v="0"/>
    <x v="8"/>
    <x v="1"/>
    <x v="10"/>
    <x v="1"/>
  </r>
  <r>
    <s v="TX501884"/>
    <x v="8"/>
    <x v="12"/>
    <x v="438"/>
    <n v="84.4"/>
    <d v="2025-03-10T00:00:00"/>
    <d v="2025-03-13T00:00:00"/>
    <x v="1"/>
    <x v="3"/>
    <x v="0"/>
    <x v="0"/>
    <x v="8"/>
    <x v="2"/>
    <x v="10"/>
    <x v="1"/>
  </r>
  <r>
    <s v="TX501885"/>
    <x v="8"/>
    <x v="2"/>
    <x v="846"/>
    <n v="99.600000000000009"/>
    <d v="2025-03-10T00:00:00"/>
    <d v="2025-03-24T00:00:00"/>
    <x v="0"/>
    <x v="0"/>
    <x v="4"/>
    <x v="0"/>
    <x v="8"/>
    <x v="12"/>
    <x v="10"/>
    <x v="0"/>
  </r>
  <r>
    <s v="TX501886"/>
    <x v="1"/>
    <x v="12"/>
    <x v="417"/>
    <n v="298"/>
    <d v="2025-03-10T00:00:00"/>
    <d v="2025-03-11T00:00:00"/>
    <x v="1"/>
    <x v="4"/>
    <x v="0"/>
    <x v="0"/>
    <x v="8"/>
    <x v="3"/>
    <x v="10"/>
    <x v="1"/>
  </r>
  <r>
    <s v="TX501887"/>
    <x v="10"/>
    <x v="4"/>
    <x v="43"/>
    <n v="823.19999999999993"/>
    <d v="2025-03-10T00:00:00"/>
    <d v="2025-03-13T00:00:00"/>
    <x v="2"/>
    <x v="0"/>
    <x v="2"/>
    <x v="0"/>
    <x v="8"/>
    <x v="2"/>
    <x v="10"/>
    <x v="2"/>
  </r>
  <r>
    <s v="TX501888"/>
    <x v="5"/>
    <x v="21"/>
    <x v="128"/>
    <n v="509.59999999999997"/>
    <d v="2025-03-10T00:00:00"/>
    <d v="2025-03-12T00:00:00"/>
    <x v="2"/>
    <x v="0"/>
    <x v="1"/>
    <x v="0"/>
    <x v="9"/>
    <x v="1"/>
    <x v="10"/>
    <x v="2"/>
  </r>
  <r>
    <s v="TX501889"/>
    <x v="16"/>
    <x v="9"/>
    <x v="212"/>
    <n v="338"/>
    <d v="2025-03-11T00:00:00"/>
    <d v="2025-03-14T00:00:00"/>
    <x v="2"/>
    <x v="4"/>
    <x v="1"/>
    <x v="0"/>
    <x v="9"/>
    <x v="2"/>
    <x v="10"/>
    <x v="2"/>
  </r>
  <r>
    <s v="TX501890"/>
    <x v="15"/>
    <x v="0"/>
    <x v="425"/>
    <n v="46.3"/>
    <d v="2025-03-11T00:00:00"/>
    <d v="2025-03-12T00:00:00"/>
    <x v="1"/>
    <x v="2"/>
    <x v="0"/>
    <x v="0"/>
    <x v="9"/>
    <x v="3"/>
    <x v="10"/>
    <x v="1"/>
  </r>
  <r>
    <s v="TX501891"/>
    <x v="1"/>
    <x v="2"/>
    <x v="847"/>
    <n v="372.6"/>
    <d v="2025-03-11T00:00:00"/>
    <d v="2025-03-13T00:00:00"/>
    <x v="2"/>
    <x v="1"/>
    <x v="2"/>
    <x v="0"/>
    <x v="11"/>
    <x v="1"/>
    <x v="10"/>
    <x v="2"/>
  </r>
  <r>
    <s v="TX501892"/>
    <x v="10"/>
    <x v="1"/>
    <x v="571"/>
    <n v="74"/>
    <d v="2025-03-11T00:00:00"/>
    <d v="2025-03-17T00:00:00"/>
    <x v="1"/>
    <x v="0"/>
    <x v="0"/>
    <x v="0"/>
    <x v="11"/>
    <x v="4"/>
    <x v="10"/>
    <x v="1"/>
  </r>
  <r>
    <s v="TX501893"/>
    <x v="5"/>
    <x v="0"/>
    <x v="80"/>
    <n v="41.8"/>
    <d v="2025-03-11T00:00:00"/>
    <d v="2025-03-12T00:00:00"/>
    <x v="1"/>
    <x v="2"/>
    <x v="0"/>
    <x v="0"/>
    <x v="31"/>
    <x v="3"/>
    <x v="10"/>
    <x v="1"/>
  </r>
  <r>
    <s v="TX501894"/>
    <x v="9"/>
    <x v="1"/>
    <x v="27"/>
    <n v="114.4"/>
    <d v="2025-03-11T00:00:00"/>
    <d v="2025-03-13T00:00:00"/>
    <x v="1"/>
    <x v="2"/>
    <x v="1"/>
    <x v="0"/>
    <x v="20"/>
    <x v="1"/>
    <x v="10"/>
    <x v="1"/>
  </r>
  <r>
    <s v="TX501895"/>
    <x v="6"/>
    <x v="1"/>
    <x v="344"/>
    <n v="94.2"/>
    <d v="2025-03-11T00:00:00"/>
    <d v="2025-03-13T00:00:00"/>
    <x v="2"/>
    <x v="0"/>
    <x v="4"/>
    <x v="0"/>
    <x v="20"/>
    <x v="1"/>
    <x v="10"/>
    <x v="2"/>
  </r>
  <r>
    <s v="TX501896"/>
    <x v="5"/>
    <x v="2"/>
    <x v="154"/>
    <n v="259.20000000000005"/>
    <d v="2025-03-11T00:00:00"/>
    <d v="2025-03-12T00:00:00"/>
    <x v="1"/>
    <x v="2"/>
    <x v="1"/>
    <x v="0"/>
    <x v="52"/>
    <x v="3"/>
    <x v="10"/>
    <x v="1"/>
  </r>
  <r>
    <s v="TX501897"/>
    <x v="6"/>
    <x v="9"/>
    <x v="485"/>
    <n v="525"/>
    <d v="2025-03-11T00:00:00"/>
    <d v="2025-03-14T00:00:00"/>
    <x v="1"/>
    <x v="0"/>
    <x v="0"/>
    <x v="0"/>
    <x v="13"/>
    <x v="2"/>
    <x v="10"/>
    <x v="1"/>
  </r>
  <r>
    <s v="TX501898"/>
    <x v="18"/>
    <x v="0"/>
    <x v="614"/>
    <n v="33"/>
    <d v="2025-03-11T00:00:00"/>
    <d v="2025-03-14T00:00:00"/>
    <x v="1"/>
    <x v="4"/>
    <x v="0"/>
    <x v="0"/>
    <x v="21"/>
    <x v="2"/>
    <x v="10"/>
    <x v="1"/>
  </r>
  <r>
    <s v="TX501899"/>
    <x v="6"/>
    <x v="9"/>
    <x v="649"/>
    <n v="533"/>
    <d v="2025-03-11T00:00:00"/>
    <d v="2025-03-24T00:00:00"/>
    <x v="2"/>
    <x v="2"/>
    <x v="0"/>
    <x v="0"/>
    <x v="1"/>
    <x v="10"/>
    <x v="10"/>
    <x v="2"/>
  </r>
  <r>
    <s v="TX501900"/>
    <x v="10"/>
    <x v="46"/>
    <x v="48"/>
    <n v="857.6"/>
    <d v="2025-03-11T00:00:00"/>
    <d v="2025-03-12T00:00:00"/>
    <x v="2"/>
    <x v="2"/>
    <x v="0"/>
    <x v="0"/>
    <x v="1"/>
    <x v="3"/>
    <x v="10"/>
    <x v="2"/>
  </r>
  <r>
    <s v="TX501901"/>
    <x v="17"/>
    <x v="9"/>
    <x v="136"/>
    <n v="129"/>
    <d v="2025-03-11T00:00:00"/>
    <d v="2025-03-11T00:00:00"/>
    <x v="2"/>
    <x v="1"/>
    <x v="2"/>
    <x v="0"/>
    <x v="3"/>
    <x v="7"/>
    <x v="10"/>
    <x v="2"/>
  </r>
  <r>
    <s v="TX501902"/>
    <x v="2"/>
    <x v="2"/>
    <x v="848"/>
    <n v="651"/>
    <d v="2025-03-11T00:00:00"/>
    <d v="2025-03-12T00:00:00"/>
    <x v="2"/>
    <x v="1"/>
    <x v="1"/>
    <x v="0"/>
    <x v="3"/>
    <x v="3"/>
    <x v="10"/>
    <x v="2"/>
  </r>
  <r>
    <s v="TX501903"/>
    <x v="2"/>
    <x v="1"/>
    <x v="849"/>
    <n v="194.6"/>
    <d v="2025-03-11T00:00:00"/>
    <d v="2025-03-12T00:00:00"/>
    <x v="1"/>
    <x v="2"/>
    <x v="4"/>
    <x v="0"/>
    <x v="3"/>
    <x v="3"/>
    <x v="10"/>
    <x v="1"/>
  </r>
  <r>
    <s v="TX501904"/>
    <x v="1"/>
    <x v="0"/>
    <x v="850"/>
    <n v="49.8"/>
    <d v="2025-03-11T00:00:00"/>
    <d v="2025-03-12T00:00:00"/>
    <x v="2"/>
    <x v="0"/>
    <x v="0"/>
    <x v="0"/>
    <x v="3"/>
    <x v="3"/>
    <x v="10"/>
    <x v="2"/>
  </r>
  <r>
    <s v="TX501905"/>
    <x v="12"/>
    <x v="9"/>
    <x v="101"/>
    <n v="163"/>
    <d v="2025-03-11T00:00:00"/>
    <d v="2025-03-12T00:00:00"/>
    <x v="2"/>
    <x v="0"/>
    <x v="0"/>
    <x v="0"/>
    <x v="3"/>
    <x v="3"/>
    <x v="10"/>
    <x v="2"/>
  </r>
  <r>
    <s v="TX501906"/>
    <x v="9"/>
    <x v="1"/>
    <x v="464"/>
    <n v="80.2"/>
    <d v="2025-03-11T00:00:00"/>
    <d v="2025-03-14T00:00:00"/>
    <x v="1"/>
    <x v="1"/>
    <x v="2"/>
    <x v="0"/>
    <x v="3"/>
    <x v="2"/>
    <x v="10"/>
    <x v="1"/>
  </r>
  <r>
    <s v="TX501907"/>
    <x v="10"/>
    <x v="1"/>
    <x v="183"/>
    <n v="98.8"/>
    <d v="2025-03-11T00:00:00"/>
    <d v="2025-03-13T00:00:00"/>
    <x v="1"/>
    <x v="1"/>
    <x v="0"/>
    <x v="0"/>
    <x v="3"/>
    <x v="1"/>
    <x v="10"/>
    <x v="1"/>
  </r>
  <r>
    <s v="TX501908"/>
    <x v="2"/>
    <x v="0"/>
    <x v="618"/>
    <n v="67.3"/>
    <d v="2025-03-11T00:00:00"/>
    <d v="2025-03-12T00:00:00"/>
    <x v="2"/>
    <x v="0"/>
    <x v="2"/>
    <x v="0"/>
    <x v="3"/>
    <x v="3"/>
    <x v="10"/>
    <x v="2"/>
  </r>
  <r>
    <s v="TX501909"/>
    <x v="18"/>
    <x v="12"/>
    <x v="239"/>
    <n v="178"/>
    <d v="2025-03-11T00:00:00"/>
    <d v="2025-03-14T00:00:00"/>
    <x v="0"/>
    <x v="1"/>
    <x v="0"/>
    <x v="0"/>
    <x v="3"/>
    <x v="2"/>
    <x v="10"/>
    <x v="0"/>
  </r>
  <r>
    <s v="TX501910"/>
    <x v="6"/>
    <x v="5"/>
    <x v="851"/>
    <n v="1222.0999999999999"/>
    <d v="2025-03-11T00:00:00"/>
    <d v="2025-03-12T00:00:00"/>
    <x v="2"/>
    <x v="4"/>
    <x v="0"/>
    <x v="0"/>
    <x v="3"/>
    <x v="3"/>
    <x v="10"/>
    <x v="2"/>
  </r>
  <r>
    <s v="TX501911"/>
    <x v="8"/>
    <x v="2"/>
    <x v="478"/>
    <n v="59.099999999999994"/>
    <d v="2025-03-11T00:00:00"/>
    <d v="2025-03-12T00:00:00"/>
    <x v="2"/>
    <x v="4"/>
    <x v="4"/>
    <x v="0"/>
    <x v="3"/>
    <x v="3"/>
    <x v="10"/>
    <x v="2"/>
  </r>
  <r>
    <s v="TX501912"/>
    <x v="1"/>
    <x v="0"/>
    <x v="7"/>
    <n v="40.299999999999997"/>
    <d v="2025-03-11T00:00:00"/>
    <d v="2025-03-12T00:00:00"/>
    <x v="3"/>
    <x v="1"/>
    <x v="0"/>
    <x v="0"/>
    <x v="3"/>
    <x v="3"/>
    <x v="10"/>
    <x v="3"/>
  </r>
  <r>
    <s v="TX501913"/>
    <x v="6"/>
    <x v="1"/>
    <x v="586"/>
    <n v="217.6"/>
    <d v="2025-03-11T00:00:00"/>
    <d v="2025-03-16T00:00:00"/>
    <x v="1"/>
    <x v="0"/>
    <x v="2"/>
    <x v="0"/>
    <x v="6"/>
    <x v="0"/>
    <x v="10"/>
    <x v="1"/>
  </r>
  <r>
    <s v="TX501914"/>
    <x v="8"/>
    <x v="2"/>
    <x v="297"/>
    <n v="144.60000000000002"/>
    <d v="2025-03-11T00:00:00"/>
    <d v="2025-03-16T00:00:00"/>
    <x v="2"/>
    <x v="4"/>
    <x v="0"/>
    <x v="0"/>
    <x v="7"/>
    <x v="0"/>
    <x v="10"/>
    <x v="2"/>
  </r>
  <r>
    <s v="TX501915"/>
    <x v="2"/>
    <x v="2"/>
    <x v="852"/>
    <n v="314.10000000000002"/>
    <d v="2025-03-11T00:00:00"/>
    <d v="2025-03-13T00:00:00"/>
    <x v="2"/>
    <x v="0"/>
    <x v="1"/>
    <x v="0"/>
    <x v="7"/>
    <x v="1"/>
    <x v="10"/>
    <x v="2"/>
  </r>
  <r>
    <s v="TX501916"/>
    <x v="1"/>
    <x v="1"/>
    <x v="853"/>
    <n v="161.19999999999999"/>
    <d v="2025-03-11T00:00:00"/>
    <d v="2025-03-11T00:00:00"/>
    <x v="2"/>
    <x v="1"/>
    <x v="0"/>
    <x v="0"/>
    <x v="8"/>
    <x v="7"/>
    <x v="10"/>
    <x v="2"/>
  </r>
  <r>
    <s v="TX501917"/>
    <x v="6"/>
    <x v="0"/>
    <x v="313"/>
    <n v="65.5"/>
    <d v="2025-03-11T00:00:00"/>
    <d v="2025-03-13T00:00:00"/>
    <x v="3"/>
    <x v="1"/>
    <x v="0"/>
    <x v="0"/>
    <x v="8"/>
    <x v="1"/>
    <x v="10"/>
    <x v="3"/>
  </r>
  <r>
    <s v="TX501918"/>
    <x v="9"/>
    <x v="2"/>
    <x v="854"/>
    <n v="184.2"/>
    <d v="2025-03-11T00:00:00"/>
    <d v="2025-03-13T00:00:00"/>
    <x v="2"/>
    <x v="4"/>
    <x v="2"/>
    <x v="0"/>
    <x v="8"/>
    <x v="1"/>
    <x v="10"/>
    <x v="2"/>
  </r>
  <r>
    <s v="TX501919"/>
    <x v="0"/>
    <x v="0"/>
    <x v="150"/>
    <n v="12.5"/>
    <d v="2025-03-12T00:00:00"/>
    <d v="2025-03-15T00:00:00"/>
    <x v="2"/>
    <x v="0"/>
    <x v="1"/>
    <x v="0"/>
    <x v="8"/>
    <x v="2"/>
    <x v="10"/>
    <x v="2"/>
  </r>
  <r>
    <s v="TX501920"/>
    <x v="4"/>
    <x v="12"/>
    <x v="334"/>
    <n v="140.4"/>
    <d v="2025-03-12T00:00:00"/>
    <d v="2025-03-13T00:00:00"/>
    <x v="1"/>
    <x v="2"/>
    <x v="1"/>
    <x v="0"/>
    <x v="17"/>
    <x v="3"/>
    <x v="10"/>
    <x v="1"/>
  </r>
  <r>
    <s v="TX501921"/>
    <x v="5"/>
    <x v="1"/>
    <x v="740"/>
    <n v="111.4"/>
    <d v="2025-03-12T00:00:00"/>
    <d v="2025-03-13T00:00:00"/>
    <x v="1"/>
    <x v="0"/>
    <x v="1"/>
    <x v="0"/>
    <x v="26"/>
    <x v="3"/>
    <x v="10"/>
    <x v="1"/>
  </r>
  <r>
    <s v="TX501922"/>
    <x v="7"/>
    <x v="1"/>
    <x v="461"/>
    <n v="115.4"/>
    <d v="2025-03-12T00:00:00"/>
    <d v="2025-03-14T00:00:00"/>
    <x v="1"/>
    <x v="4"/>
    <x v="1"/>
    <x v="0"/>
    <x v="9"/>
    <x v="1"/>
    <x v="10"/>
    <x v="1"/>
  </r>
  <r>
    <s v="TX501923"/>
    <x v="2"/>
    <x v="13"/>
    <x v="753"/>
    <n v="514.20000000000005"/>
    <d v="2025-03-12T00:00:00"/>
    <d v="2025-03-13T00:00:00"/>
    <x v="1"/>
    <x v="3"/>
    <x v="2"/>
    <x v="0"/>
    <x v="9"/>
    <x v="3"/>
    <x v="10"/>
    <x v="1"/>
  </r>
  <r>
    <s v="TX501924"/>
    <x v="2"/>
    <x v="2"/>
    <x v="724"/>
    <n v="260.70000000000005"/>
    <d v="2025-03-12T00:00:00"/>
    <d v="2025-03-14T00:00:00"/>
    <x v="2"/>
    <x v="1"/>
    <x v="0"/>
    <x v="0"/>
    <x v="11"/>
    <x v="1"/>
    <x v="10"/>
    <x v="2"/>
  </r>
  <r>
    <s v="TX501925"/>
    <x v="18"/>
    <x v="1"/>
    <x v="340"/>
    <n v="92.8"/>
    <d v="2025-03-12T00:00:00"/>
    <d v="2025-03-15T00:00:00"/>
    <x v="2"/>
    <x v="4"/>
    <x v="0"/>
    <x v="0"/>
    <x v="11"/>
    <x v="2"/>
    <x v="10"/>
    <x v="2"/>
  </r>
  <r>
    <s v="TX501926"/>
    <x v="5"/>
    <x v="2"/>
    <x v="855"/>
    <n v="76.199999999999989"/>
    <d v="2025-03-12T00:00:00"/>
    <d v="2025-03-12T00:00:00"/>
    <x v="2"/>
    <x v="2"/>
    <x v="2"/>
    <x v="0"/>
    <x v="18"/>
    <x v="7"/>
    <x v="10"/>
    <x v="2"/>
  </r>
  <r>
    <s v="TX501927"/>
    <x v="10"/>
    <x v="2"/>
    <x v="134"/>
    <n v="143.39999999999998"/>
    <d v="2025-03-12T00:00:00"/>
    <d v="2025-03-12T00:00:00"/>
    <x v="0"/>
    <x v="2"/>
    <x v="2"/>
    <x v="0"/>
    <x v="19"/>
    <x v="7"/>
    <x v="10"/>
    <x v="0"/>
  </r>
  <r>
    <s v="TX501928"/>
    <x v="8"/>
    <x v="10"/>
    <x v="856"/>
    <n v="349.59999999999997"/>
    <d v="2025-03-12T00:00:00"/>
    <d v="2025-03-14T00:00:00"/>
    <x v="3"/>
    <x v="2"/>
    <x v="0"/>
    <x v="0"/>
    <x v="20"/>
    <x v="1"/>
    <x v="10"/>
    <x v="3"/>
  </r>
  <r>
    <s v="TX501929"/>
    <x v="12"/>
    <x v="2"/>
    <x v="313"/>
    <n v="196.5"/>
    <d v="2025-03-12T00:00:00"/>
    <d v="2025-03-20T00:00:00"/>
    <x v="2"/>
    <x v="0"/>
    <x v="0"/>
    <x v="0"/>
    <x v="21"/>
    <x v="9"/>
    <x v="10"/>
    <x v="2"/>
  </r>
  <r>
    <s v="TX501930"/>
    <x v="10"/>
    <x v="1"/>
    <x v="79"/>
    <n v="101.2"/>
    <d v="2025-03-12T00:00:00"/>
    <d v="2025-03-15T00:00:00"/>
    <x v="1"/>
    <x v="2"/>
    <x v="4"/>
    <x v="0"/>
    <x v="21"/>
    <x v="2"/>
    <x v="10"/>
    <x v="1"/>
  </r>
  <r>
    <s v="TX501931"/>
    <x v="3"/>
    <x v="9"/>
    <x v="192"/>
    <n v="345"/>
    <d v="2025-03-12T00:00:00"/>
    <d v="2025-03-16T00:00:00"/>
    <x v="1"/>
    <x v="3"/>
    <x v="0"/>
    <x v="0"/>
    <x v="21"/>
    <x v="5"/>
    <x v="10"/>
    <x v="1"/>
  </r>
  <r>
    <s v="TX501932"/>
    <x v="9"/>
    <x v="8"/>
    <x v="18"/>
    <n v="408.8"/>
    <d v="2025-03-12T00:00:00"/>
    <d v="2025-03-14T00:00:00"/>
    <x v="2"/>
    <x v="0"/>
    <x v="0"/>
    <x v="0"/>
    <x v="1"/>
    <x v="1"/>
    <x v="10"/>
    <x v="2"/>
  </r>
  <r>
    <s v="TX501933"/>
    <x v="9"/>
    <x v="0"/>
    <x v="160"/>
    <n v="36.1"/>
    <d v="2025-03-12T00:00:00"/>
    <d v="2025-03-13T00:00:00"/>
    <x v="2"/>
    <x v="0"/>
    <x v="2"/>
    <x v="0"/>
    <x v="34"/>
    <x v="3"/>
    <x v="10"/>
    <x v="2"/>
  </r>
  <r>
    <s v="TX501934"/>
    <x v="14"/>
    <x v="0"/>
    <x v="585"/>
    <n v="18.7"/>
    <d v="2025-03-12T00:00:00"/>
    <d v="2025-03-13T00:00:00"/>
    <x v="1"/>
    <x v="0"/>
    <x v="0"/>
    <x v="0"/>
    <x v="3"/>
    <x v="3"/>
    <x v="10"/>
    <x v="1"/>
  </r>
  <r>
    <s v="TX501935"/>
    <x v="17"/>
    <x v="0"/>
    <x v="90"/>
    <n v="30.1"/>
    <d v="2025-03-12T00:00:00"/>
    <d v="2025-03-15T00:00:00"/>
    <x v="2"/>
    <x v="3"/>
    <x v="1"/>
    <x v="0"/>
    <x v="3"/>
    <x v="2"/>
    <x v="10"/>
    <x v="2"/>
  </r>
  <r>
    <s v="TX501936"/>
    <x v="8"/>
    <x v="0"/>
    <x v="857"/>
    <n v="16.3"/>
    <d v="2025-03-12T00:00:00"/>
    <d v="2025-03-13T00:00:00"/>
    <x v="1"/>
    <x v="3"/>
    <x v="0"/>
    <x v="0"/>
    <x v="3"/>
    <x v="3"/>
    <x v="10"/>
    <x v="1"/>
  </r>
  <r>
    <s v="TX501937"/>
    <x v="1"/>
    <x v="2"/>
    <x v="259"/>
    <n v="191.39999999999998"/>
    <d v="2025-03-12T00:00:00"/>
    <d v="2025-03-17T00:00:00"/>
    <x v="2"/>
    <x v="2"/>
    <x v="1"/>
    <x v="0"/>
    <x v="3"/>
    <x v="0"/>
    <x v="10"/>
    <x v="2"/>
  </r>
  <r>
    <s v="TX501938"/>
    <x v="1"/>
    <x v="3"/>
    <x v="858"/>
    <n v="517.30000000000007"/>
    <d v="2025-03-12T00:00:00"/>
    <d v="2025-03-12T00:00:00"/>
    <x v="2"/>
    <x v="0"/>
    <x v="1"/>
    <x v="0"/>
    <x v="3"/>
    <x v="7"/>
    <x v="10"/>
    <x v="2"/>
  </r>
  <r>
    <s v="TX501939"/>
    <x v="0"/>
    <x v="1"/>
    <x v="736"/>
    <n v="40.4"/>
    <d v="2025-03-12T00:00:00"/>
    <d v="2025-03-13T00:00:00"/>
    <x v="1"/>
    <x v="0"/>
    <x v="1"/>
    <x v="0"/>
    <x v="3"/>
    <x v="3"/>
    <x v="10"/>
    <x v="1"/>
  </r>
  <r>
    <s v="TX501940"/>
    <x v="11"/>
    <x v="5"/>
    <x v="669"/>
    <n v="324.5"/>
    <d v="2025-03-12T00:00:00"/>
    <d v="2025-03-13T00:00:00"/>
    <x v="1"/>
    <x v="0"/>
    <x v="0"/>
    <x v="0"/>
    <x v="3"/>
    <x v="3"/>
    <x v="10"/>
    <x v="1"/>
  </r>
  <r>
    <s v="TX501941"/>
    <x v="15"/>
    <x v="3"/>
    <x v="430"/>
    <n v="265.3"/>
    <d v="2025-03-12T00:00:00"/>
    <d v="2025-03-13T00:00:00"/>
    <x v="1"/>
    <x v="1"/>
    <x v="0"/>
    <x v="0"/>
    <x v="3"/>
    <x v="3"/>
    <x v="10"/>
    <x v="1"/>
  </r>
  <r>
    <s v="TX501942"/>
    <x v="2"/>
    <x v="0"/>
    <x v="448"/>
    <n v="56.5"/>
    <d v="2025-03-12T00:00:00"/>
    <d v="2025-03-13T00:00:00"/>
    <x v="2"/>
    <x v="2"/>
    <x v="1"/>
    <x v="0"/>
    <x v="3"/>
    <x v="3"/>
    <x v="10"/>
    <x v="2"/>
  </r>
  <r>
    <s v="TX501943"/>
    <x v="2"/>
    <x v="1"/>
    <x v="668"/>
    <n v="133.80000000000001"/>
    <d v="2025-03-12T00:00:00"/>
    <d v="2025-03-18T00:00:00"/>
    <x v="1"/>
    <x v="1"/>
    <x v="4"/>
    <x v="0"/>
    <x v="25"/>
    <x v="4"/>
    <x v="10"/>
    <x v="1"/>
  </r>
  <r>
    <s v="TX501944"/>
    <x v="2"/>
    <x v="9"/>
    <x v="424"/>
    <n v="259.5"/>
    <d v="2025-03-12T00:00:00"/>
    <d v="2025-03-15T00:00:00"/>
    <x v="1"/>
    <x v="1"/>
    <x v="0"/>
    <x v="0"/>
    <x v="7"/>
    <x v="2"/>
    <x v="10"/>
    <x v="1"/>
  </r>
  <r>
    <s v="TX501945"/>
    <x v="2"/>
    <x v="1"/>
    <x v="859"/>
    <n v="151.19999999999999"/>
    <d v="2025-03-12T00:00:00"/>
    <d v="2025-03-15T00:00:00"/>
    <x v="1"/>
    <x v="1"/>
    <x v="0"/>
    <x v="0"/>
    <x v="8"/>
    <x v="2"/>
    <x v="10"/>
    <x v="1"/>
  </r>
  <r>
    <s v="TX501946"/>
    <x v="12"/>
    <x v="13"/>
    <x v="219"/>
    <n v="283.79999999999995"/>
    <d v="2025-03-12T00:00:00"/>
    <d v="2025-03-23T00:00:00"/>
    <x v="1"/>
    <x v="0"/>
    <x v="0"/>
    <x v="0"/>
    <x v="8"/>
    <x v="11"/>
    <x v="10"/>
    <x v="1"/>
  </r>
  <r>
    <s v="TX501947"/>
    <x v="4"/>
    <x v="0"/>
    <x v="468"/>
    <n v="20.6"/>
    <d v="2025-03-12T00:00:00"/>
    <d v="2025-03-13T00:00:00"/>
    <x v="0"/>
    <x v="0"/>
    <x v="1"/>
    <x v="0"/>
    <x v="8"/>
    <x v="3"/>
    <x v="10"/>
    <x v="0"/>
  </r>
  <r>
    <s v="TX501948"/>
    <x v="6"/>
    <x v="2"/>
    <x v="235"/>
    <n v="149.10000000000002"/>
    <d v="2025-03-12T00:00:00"/>
    <d v="2025-03-14T00:00:00"/>
    <x v="1"/>
    <x v="0"/>
    <x v="1"/>
    <x v="0"/>
    <x v="8"/>
    <x v="1"/>
    <x v="10"/>
    <x v="1"/>
  </r>
  <r>
    <s v="TX501949"/>
    <x v="3"/>
    <x v="0"/>
    <x v="430"/>
    <n v="37.9"/>
    <d v="2025-03-12T00:00:00"/>
    <d v="2025-03-14T00:00:00"/>
    <x v="2"/>
    <x v="0"/>
    <x v="0"/>
    <x v="0"/>
    <x v="8"/>
    <x v="1"/>
    <x v="10"/>
    <x v="2"/>
  </r>
  <r>
    <s v="TX501950"/>
    <x v="13"/>
    <x v="20"/>
    <x v="34"/>
    <n v="480"/>
    <d v="2025-03-12T00:00:00"/>
    <d v="2025-03-14T00:00:00"/>
    <x v="2"/>
    <x v="4"/>
    <x v="0"/>
    <x v="0"/>
    <x v="11"/>
    <x v="1"/>
    <x v="10"/>
    <x v="2"/>
  </r>
  <r>
    <s v="TX501951"/>
    <x v="10"/>
    <x v="16"/>
    <x v="153"/>
    <n v="693"/>
    <d v="2025-03-13T00:00:00"/>
    <d v="2025-03-14T00:00:00"/>
    <x v="1"/>
    <x v="0"/>
    <x v="2"/>
    <x v="0"/>
    <x v="11"/>
    <x v="3"/>
    <x v="10"/>
    <x v="1"/>
  </r>
  <r>
    <s v="TX501952"/>
    <x v="0"/>
    <x v="12"/>
    <x v="860"/>
    <n v="46.8"/>
    <d v="2025-03-13T00:00:00"/>
    <d v="2025-03-15T00:00:00"/>
    <x v="2"/>
    <x v="1"/>
    <x v="0"/>
    <x v="0"/>
    <x v="20"/>
    <x v="1"/>
    <x v="10"/>
    <x v="2"/>
  </r>
  <r>
    <s v="TX501953"/>
    <x v="3"/>
    <x v="13"/>
    <x v="861"/>
    <n v="502.79999999999995"/>
    <d v="2025-03-13T00:00:00"/>
    <d v="2025-03-14T00:00:00"/>
    <x v="1"/>
    <x v="0"/>
    <x v="0"/>
    <x v="0"/>
    <x v="21"/>
    <x v="3"/>
    <x v="10"/>
    <x v="1"/>
  </r>
  <r>
    <s v="TX501954"/>
    <x v="0"/>
    <x v="3"/>
    <x v="862"/>
    <n v="98"/>
    <d v="2025-03-13T00:00:00"/>
    <d v="2025-03-16T00:00:00"/>
    <x v="1"/>
    <x v="0"/>
    <x v="1"/>
    <x v="0"/>
    <x v="22"/>
    <x v="2"/>
    <x v="10"/>
    <x v="1"/>
  </r>
  <r>
    <s v="TX501955"/>
    <x v="16"/>
    <x v="12"/>
    <x v="81"/>
    <n v="309.2"/>
    <d v="2025-03-13T00:00:00"/>
    <d v="2025-03-15T00:00:00"/>
    <x v="2"/>
    <x v="4"/>
    <x v="2"/>
    <x v="0"/>
    <x v="3"/>
    <x v="1"/>
    <x v="10"/>
    <x v="2"/>
  </r>
  <r>
    <s v="TX501956"/>
    <x v="2"/>
    <x v="1"/>
    <x v="863"/>
    <n v="153.80000000000001"/>
    <d v="2025-03-13T00:00:00"/>
    <d v="2025-03-17T00:00:00"/>
    <x v="2"/>
    <x v="0"/>
    <x v="1"/>
    <x v="0"/>
    <x v="3"/>
    <x v="5"/>
    <x v="10"/>
    <x v="2"/>
  </r>
  <r>
    <s v="TX501957"/>
    <x v="1"/>
    <x v="0"/>
    <x v="196"/>
    <n v="48"/>
    <d v="2025-03-13T00:00:00"/>
    <d v="2025-03-15T00:00:00"/>
    <x v="2"/>
    <x v="1"/>
    <x v="2"/>
    <x v="0"/>
    <x v="3"/>
    <x v="1"/>
    <x v="10"/>
    <x v="2"/>
  </r>
  <r>
    <s v="TX501958"/>
    <x v="2"/>
    <x v="0"/>
    <x v="864"/>
    <n v="94.5"/>
    <d v="2025-03-13T00:00:00"/>
    <d v="2025-03-16T00:00:00"/>
    <x v="1"/>
    <x v="1"/>
    <x v="1"/>
    <x v="0"/>
    <x v="3"/>
    <x v="2"/>
    <x v="10"/>
    <x v="1"/>
  </r>
  <r>
    <s v="TX501959"/>
    <x v="10"/>
    <x v="2"/>
    <x v="277"/>
    <n v="175.2"/>
    <d v="2025-03-13T00:00:00"/>
    <d v="2025-03-15T00:00:00"/>
    <x v="2"/>
    <x v="1"/>
    <x v="2"/>
    <x v="0"/>
    <x v="3"/>
    <x v="1"/>
    <x v="10"/>
    <x v="2"/>
  </r>
  <r>
    <s v="TX501960"/>
    <x v="7"/>
    <x v="15"/>
    <x v="567"/>
    <n v="548.6"/>
    <d v="2025-03-13T00:00:00"/>
    <d v="2025-03-13T00:00:00"/>
    <x v="1"/>
    <x v="0"/>
    <x v="0"/>
    <x v="0"/>
    <x v="25"/>
    <x v="7"/>
    <x v="10"/>
    <x v="1"/>
  </r>
  <r>
    <s v="TX501961"/>
    <x v="6"/>
    <x v="1"/>
    <x v="865"/>
    <n v="304.39999999999998"/>
    <d v="2025-03-13T00:00:00"/>
    <d v="2025-03-14T00:00:00"/>
    <x v="1"/>
    <x v="4"/>
    <x v="1"/>
    <x v="0"/>
    <x v="25"/>
    <x v="3"/>
    <x v="10"/>
    <x v="1"/>
  </r>
  <r>
    <s v="TX501962"/>
    <x v="6"/>
    <x v="25"/>
    <x v="866"/>
    <n v="1728"/>
    <d v="2025-03-13T00:00:00"/>
    <d v="2025-03-14T00:00:00"/>
    <x v="1"/>
    <x v="0"/>
    <x v="1"/>
    <x v="0"/>
    <x v="6"/>
    <x v="3"/>
    <x v="10"/>
    <x v="1"/>
  </r>
  <r>
    <s v="TX501963"/>
    <x v="1"/>
    <x v="44"/>
    <x v="45"/>
    <n v="1630.7"/>
    <d v="2025-03-13T00:00:00"/>
    <d v="2025-03-14T00:00:00"/>
    <x v="2"/>
    <x v="2"/>
    <x v="0"/>
    <x v="0"/>
    <x v="8"/>
    <x v="3"/>
    <x v="10"/>
    <x v="2"/>
  </r>
  <r>
    <s v="TX501964"/>
    <x v="2"/>
    <x v="1"/>
    <x v="526"/>
    <n v="107.4"/>
    <d v="2025-03-13T00:00:00"/>
    <d v="2025-03-14T00:00:00"/>
    <x v="1"/>
    <x v="2"/>
    <x v="2"/>
    <x v="0"/>
    <x v="8"/>
    <x v="3"/>
    <x v="10"/>
    <x v="1"/>
  </r>
  <r>
    <s v="TX501965"/>
    <x v="9"/>
    <x v="12"/>
    <x v="429"/>
    <n v="171.6"/>
    <d v="2025-03-13T00:00:00"/>
    <d v="2025-03-14T00:00:00"/>
    <x v="2"/>
    <x v="2"/>
    <x v="4"/>
    <x v="0"/>
    <x v="9"/>
    <x v="3"/>
    <x v="10"/>
    <x v="2"/>
  </r>
  <r>
    <s v="TX501966"/>
    <x v="2"/>
    <x v="3"/>
    <x v="867"/>
    <n v="752.5"/>
    <d v="2025-03-13T00:00:00"/>
    <d v="2025-03-14T00:00:00"/>
    <x v="1"/>
    <x v="1"/>
    <x v="0"/>
    <x v="0"/>
    <x v="11"/>
    <x v="3"/>
    <x v="10"/>
    <x v="1"/>
  </r>
  <r>
    <s v="TX501967"/>
    <x v="17"/>
    <x v="27"/>
    <x v="332"/>
    <n v="344"/>
    <d v="2025-03-13T00:00:00"/>
    <d v="2025-03-14T00:00:00"/>
    <x v="1"/>
    <x v="1"/>
    <x v="1"/>
    <x v="0"/>
    <x v="32"/>
    <x v="3"/>
    <x v="10"/>
    <x v="1"/>
  </r>
  <r>
    <s v="TX501968"/>
    <x v="3"/>
    <x v="9"/>
    <x v="602"/>
    <n v="426.5"/>
    <d v="2025-03-13T00:00:00"/>
    <d v="2025-03-15T00:00:00"/>
    <x v="2"/>
    <x v="3"/>
    <x v="0"/>
    <x v="0"/>
    <x v="18"/>
    <x v="1"/>
    <x v="10"/>
    <x v="2"/>
  </r>
  <r>
    <s v="TX501969"/>
    <x v="7"/>
    <x v="9"/>
    <x v="827"/>
    <n v="404"/>
    <d v="2025-03-13T00:00:00"/>
    <d v="2025-03-21T00:00:00"/>
    <x v="3"/>
    <x v="1"/>
    <x v="1"/>
    <x v="0"/>
    <x v="19"/>
    <x v="9"/>
    <x v="10"/>
    <x v="3"/>
  </r>
  <r>
    <s v="TX501970"/>
    <x v="2"/>
    <x v="2"/>
    <x v="868"/>
    <n v="369.29999999999995"/>
    <d v="2025-03-13T00:00:00"/>
    <d v="2025-03-15T00:00:00"/>
    <x v="0"/>
    <x v="2"/>
    <x v="0"/>
    <x v="0"/>
    <x v="21"/>
    <x v="1"/>
    <x v="10"/>
    <x v="0"/>
  </r>
  <r>
    <s v="TX501971"/>
    <x v="8"/>
    <x v="1"/>
    <x v="711"/>
    <n v="73.8"/>
    <d v="2025-03-13T00:00:00"/>
    <d v="2025-03-15T00:00:00"/>
    <x v="2"/>
    <x v="2"/>
    <x v="4"/>
    <x v="0"/>
    <x v="51"/>
    <x v="1"/>
    <x v="10"/>
    <x v="2"/>
  </r>
  <r>
    <s v="TX501972"/>
    <x v="11"/>
    <x v="9"/>
    <x v="152"/>
    <n v="200"/>
    <d v="2025-03-13T00:00:00"/>
    <d v="2025-03-14T00:00:00"/>
    <x v="1"/>
    <x v="0"/>
    <x v="0"/>
    <x v="0"/>
    <x v="1"/>
    <x v="3"/>
    <x v="10"/>
    <x v="1"/>
  </r>
  <r>
    <s v="TX501973"/>
    <x v="6"/>
    <x v="2"/>
    <x v="572"/>
    <n v="166.5"/>
    <d v="2025-03-13T00:00:00"/>
    <d v="2025-03-14T00:00:00"/>
    <x v="1"/>
    <x v="4"/>
    <x v="2"/>
    <x v="0"/>
    <x v="1"/>
    <x v="3"/>
    <x v="10"/>
    <x v="1"/>
  </r>
  <r>
    <s v="TX501974"/>
    <x v="0"/>
    <x v="12"/>
    <x v="580"/>
    <n v="82"/>
    <d v="2025-03-13T00:00:00"/>
    <d v="2025-03-17T00:00:00"/>
    <x v="2"/>
    <x v="4"/>
    <x v="0"/>
    <x v="0"/>
    <x v="1"/>
    <x v="5"/>
    <x v="10"/>
    <x v="2"/>
  </r>
  <r>
    <s v="TX501975"/>
    <x v="18"/>
    <x v="12"/>
    <x v="869"/>
    <n v="200.4"/>
    <d v="2025-03-13T00:00:00"/>
    <d v="2025-03-14T00:00:00"/>
    <x v="2"/>
    <x v="4"/>
    <x v="0"/>
    <x v="0"/>
    <x v="1"/>
    <x v="3"/>
    <x v="10"/>
    <x v="2"/>
  </r>
  <r>
    <s v="TX501976"/>
    <x v="9"/>
    <x v="0"/>
    <x v="275"/>
    <n v="35.9"/>
    <d v="2025-03-13T00:00:00"/>
    <d v="2025-03-15T00:00:00"/>
    <x v="1"/>
    <x v="1"/>
    <x v="2"/>
    <x v="0"/>
    <x v="1"/>
    <x v="1"/>
    <x v="10"/>
    <x v="1"/>
  </r>
  <r>
    <s v="TX501977"/>
    <x v="13"/>
    <x v="12"/>
    <x v="647"/>
    <n v="117.6"/>
    <d v="2025-03-14T00:00:00"/>
    <d v="2025-03-15T00:00:00"/>
    <x v="1"/>
    <x v="2"/>
    <x v="2"/>
    <x v="0"/>
    <x v="33"/>
    <x v="3"/>
    <x v="10"/>
    <x v="1"/>
  </r>
  <r>
    <s v="TX501978"/>
    <x v="8"/>
    <x v="9"/>
    <x v="581"/>
    <n v="145.5"/>
    <d v="2025-03-14T00:00:00"/>
    <d v="2025-03-22T00:00:00"/>
    <x v="3"/>
    <x v="2"/>
    <x v="1"/>
    <x v="0"/>
    <x v="33"/>
    <x v="9"/>
    <x v="10"/>
    <x v="3"/>
  </r>
  <r>
    <s v="TX501979"/>
    <x v="8"/>
    <x v="2"/>
    <x v="232"/>
    <n v="100.5"/>
    <d v="2025-03-14T00:00:00"/>
    <d v="2025-03-26T00:00:00"/>
    <x v="1"/>
    <x v="0"/>
    <x v="2"/>
    <x v="0"/>
    <x v="22"/>
    <x v="13"/>
    <x v="10"/>
    <x v="1"/>
  </r>
  <r>
    <s v="TX501980"/>
    <x v="4"/>
    <x v="7"/>
    <x v="307"/>
    <n v="360"/>
    <d v="2025-03-14T00:00:00"/>
    <d v="2025-03-14T00:00:00"/>
    <x v="1"/>
    <x v="3"/>
    <x v="2"/>
    <x v="0"/>
    <x v="3"/>
    <x v="7"/>
    <x v="10"/>
    <x v="1"/>
  </r>
  <r>
    <s v="TX501981"/>
    <x v="16"/>
    <x v="2"/>
    <x v="405"/>
    <n v="171.89999999999998"/>
    <d v="2025-03-14T00:00:00"/>
    <d v="2025-03-18T00:00:00"/>
    <x v="2"/>
    <x v="0"/>
    <x v="2"/>
    <x v="0"/>
    <x v="3"/>
    <x v="5"/>
    <x v="10"/>
    <x v="2"/>
  </r>
  <r>
    <s v="TX501982"/>
    <x v="1"/>
    <x v="0"/>
    <x v="870"/>
    <n v="81.400000000000006"/>
    <d v="2025-03-14T00:00:00"/>
    <d v="2025-03-15T00:00:00"/>
    <x v="2"/>
    <x v="2"/>
    <x v="2"/>
    <x v="0"/>
    <x v="3"/>
    <x v="3"/>
    <x v="10"/>
    <x v="2"/>
  </r>
  <r>
    <s v="TX501983"/>
    <x v="10"/>
    <x v="1"/>
    <x v="341"/>
    <n v="70.599999999999994"/>
    <d v="2025-03-14T00:00:00"/>
    <d v="2025-03-18T00:00:00"/>
    <x v="1"/>
    <x v="0"/>
    <x v="2"/>
    <x v="0"/>
    <x v="3"/>
    <x v="5"/>
    <x v="10"/>
    <x v="1"/>
  </r>
  <r>
    <s v="TX501984"/>
    <x v="3"/>
    <x v="0"/>
    <x v="160"/>
    <n v="36.1"/>
    <d v="2025-03-14T00:00:00"/>
    <d v="2025-03-15T00:00:00"/>
    <x v="2"/>
    <x v="4"/>
    <x v="0"/>
    <x v="0"/>
    <x v="3"/>
    <x v="3"/>
    <x v="10"/>
    <x v="2"/>
  </r>
  <r>
    <s v="TX501985"/>
    <x v="1"/>
    <x v="1"/>
    <x v="294"/>
    <n v="73.400000000000006"/>
    <d v="2025-03-14T00:00:00"/>
    <d v="2025-03-16T00:00:00"/>
    <x v="2"/>
    <x v="0"/>
    <x v="2"/>
    <x v="0"/>
    <x v="3"/>
    <x v="1"/>
    <x v="10"/>
    <x v="2"/>
  </r>
  <r>
    <s v="TX501986"/>
    <x v="10"/>
    <x v="0"/>
    <x v="588"/>
    <n v="20.9"/>
    <d v="2025-03-14T00:00:00"/>
    <d v="2025-03-16T00:00:00"/>
    <x v="2"/>
    <x v="0"/>
    <x v="4"/>
    <x v="0"/>
    <x v="3"/>
    <x v="1"/>
    <x v="10"/>
    <x v="2"/>
  </r>
  <r>
    <s v="TX501987"/>
    <x v="12"/>
    <x v="2"/>
    <x v="466"/>
    <n v="176.39999999999998"/>
    <d v="2025-03-14T00:00:00"/>
    <d v="2025-03-18T00:00:00"/>
    <x v="1"/>
    <x v="0"/>
    <x v="2"/>
    <x v="0"/>
    <x v="25"/>
    <x v="5"/>
    <x v="10"/>
    <x v="1"/>
  </r>
  <r>
    <s v="TX501988"/>
    <x v="2"/>
    <x v="2"/>
    <x v="871"/>
    <n v="292.79999999999995"/>
    <d v="2025-03-15T00:00:00"/>
    <d v="2025-03-17T00:00:00"/>
    <x v="0"/>
    <x v="0"/>
    <x v="0"/>
    <x v="0"/>
    <x v="6"/>
    <x v="1"/>
    <x v="10"/>
    <x v="0"/>
  </r>
  <r>
    <s v="TX501989"/>
    <x v="1"/>
    <x v="1"/>
    <x v="785"/>
    <n v="117.4"/>
    <d v="2025-03-15T00:00:00"/>
    <d v="2025-03-18T00:00:00"/>
    <x v="2"/>
    <x v="0"/>
    <x v="1"/>
    <x v="0"/>
    <x v="6"/>
    <x v="2"/>
    <x v="10"/>
    <x v="2"/>
  </r>
  <r>
    <s v="TX501990"/>
    <x v="6"/>
    <x v="9"/>
    <x v="774"/>
    <n v="359.5"/>
    <d v="2025-03-15T00:00:00"/>
    <d v="2025-03-16T00:00:00"/>
    <x v="0"/>
    <x v="0"/>
    <x v="1"/>
    <x v="0"/>
    <x v="6"/>
    <x v="3"/>
    <x v="10"/>
    <x v="0"/>
  </r>
  <r>
    <s v="TX501991"/>
    <x v="1"/>
    <x v="1"/>
    <x v="470"/>
    <n v="124.8"/>
    <d v="2025-03-15T00:00:00"/>
    <d v="2025-03-17T00:00:00"/>
    <x v="0"/>
    <x v="0"/>
    <x v="1"/>
    <x v="0"/>
    <x v="8"/>
    <x v="1"/>
    <x v="10"/>
    <x v="0"/>
  </r>
  <r>
    <s v="TX501992"/>
    <x v="6"/>
    <x v="27"/>
    <x v="589"/>
    <n v="860.8"/>
    <d v="2025-03-15T00:00:00"/>
    <d v="2025-03-16T00:00:00"/>
    <x v="2"/>
    <x v="1"/>
    <x v="0"/>
    <x v="0"/>
    <x v="8"/>
    <x v="3"/>
    <x v="10"/>
    <x v="2"/>
  </r>
  <r>
    <s v="TX501993"/>
    <x v="9"/>
    <x v="0"/>
    <x v="20"/>
    <n v="43.8"/>
    <d v="2025-03-15T00:00:00"/>
    <d v="2025-03-22T00:00:00"/>
    <x v="2"/>
    <x v="0"/>
    <x v="2"/>
    <x v="0"/>
    <x v="8"/>
    <x v="6"/>
    <x v="10"/>
    <x v="2"/>
  </r>
  <r>
    <s v="TX501994"/>
    <x v="5"/>
    <x v="2"/>
    <x v="582"/>
    <n v="160.80000000000001"/>
    <d v="2025-03-15T00:00:00"/>
    <d v="2025-03-16T00:00:00"/>
    <x v="1"/>
    <x v="3"/>
    <x v="0"/>
    <x v="0"/>
    <x v="8"/>
    <x v="3"/>
    <x v="10"/>
    <x v="1"/>
  </r>
  <r>
    <s v="TX501995"/>
    <x v="12"/>
    <x v="1"/>
    <x v="872"/>
    <n v="168.6"/>
    <d v="2025-03-15T00:00:00"/>
    <d v="2025-03-18T00:00:00"/>
    <x v="1"/>
    <x v="4"/>
    <x v="1"/>
    <x v="0"/>
    <x v="8"/>
    <x v="2"/>
    <x v="10"/>
    <x v="1"/>
  </r>
  <r>
    <s v="TX501996"/>
    <x v="6"/>
    <x v="11"/>
    <x v="873"/>
    <n v="1061.1000000000001"/>
    <d v="2025-03-15T00:00:00"/>
    <d v="2025-03-16T00:00:00"/>
    <x v="2"/>
    <x v="1"/>
    <x v="2"/>
    <x v="0"/>
    <x v="8"/>
    <x v="3"/>
    <x v="10"/>
    <x v="2"/>
  </r>
  <r>
    <s v="TX501997"/>
    <x v="4"/>
    <x v="8"/>
    <x v="500"/>
    <n v="240"/>
    <d v="2025-03-15T00:00:00"/>
    <d v="2025-03-16T00:00:00"/>
    <x v="2"/>
    <x v="1"/>
    <x v="0"/>
    <x v="0"/>
    <x v="26"/>
    <x v="3"/>
    <x v="10"/>
    <x v="2"/>
  </r>
  <r>
    <s v="TX501998"/>
    <x v="14"/>
    <x v="2"/>
    <x v="105"/>
    <n v="111.89999999999999"/>
    <d v="2025-03-15T00:00:00"/>
    <d v="2025-03-16T00:00:00"/>
    <x v="1"/>
    <x v="2"/>
    <x v="0"/>
    <x v="0"/>
    <x v="9"/>
    <x v="3"/>
    <x v="10"/>
    <x v="1"/>
  </r>
  <r>
    <s v="TX501999"/>
    <x v="4"/>
    <x v="11"/>
    <x v="403"/>
    <n v="225.9"/>
    <d v="2025-03-15T00:00:00"/>
    <d v="2025-03-17T00:00:00"/>
    <x v="1"/>
    <x v="1"/>
    <x v="2"/>
    <x v="0"/>
    <x v="11"/>
    <x v="1"/>
    <x v="10"/>
    <x v="1"/>
  </r>
  <r>
    <s v="TX502000"/>
    <x v="8"/>
    <x v="5"/>
    <x v="307"/>
    <n v="396"/>
    <d v="2025-03-15T00:00:00"/>
    <d v="2025-03-25T00:00:00"/>
    <x v="1"/>
    <x v="1"/>
    <x v="0"/>
    <x v="0"/>
    <x v="18"/>
    <x v="14"/>
    <x v="10"/>
    <x v="1"/>
  </r>
  <r>
    <s v="TX502001"/>
    <x v="16"/>
    <x v="2"/>
    <x v="286"/>
    <n v="145.5"/>
    <d v="2025-03-15T00:00:00"/>
    <d v="2025-03-19T00:00:00"/>
    <x v="2"/>
    <x v="1"/>
    <x v="0"/>
    <x v="0"/>
    <x v="19"/>
    <x v="5"/>
    <x v="10"/>
    <x v="2"/>
  </r>
  <r>
    <s v="TX502002"/>
    <x v="17"/>
    <x v="13"/>
    <x v="438"/>
    <n v="126.60000000000001"/>
    <d v="2025-03-15T00:00:00"/>
    <d v="2025-03-16T00:00:00"/>
    <x v="1"/>
    <x v="1"/>
    <x v="2"/>
    <x v="0"/>
    <x v="21"/>
    <x v="3"/>
    <x v="10"/>
    <x v="1"/>
  </r>
  <r>
    <s v="TX502003"/>
    <x v="15"/>
    <x v="21"/>
    <x v="522"/>
    <n v="604.80000000000007"/>
    <d v="2025-03-15T00:00:00"/>
    <d v="2025-03-16T00:00:00"/>
    <x v="3"/>
    <x v="0"/>
    <x v="1"/>
    <x v="0"/>
    <x v="21"/>
    <x v="3"/>
    <x v="10"/>
    <x v="3"/>
  </r>
  <r>
    <s v="TX502004"/>
    <x v="9"/>
    <x v="1"/>
    <x v="438"/>
    <n v="42.2"/>
    <d v="2025-03-15T00:00:00"/>
    <d v="2025-03-16T00:00:00"/>
    <x v="0"/>
    <x v="3"/>
    <x v="1"/>
    <x v="0"/>
    <x v="21"/>
    <x v="3"/>
    <x v="10"/>
    <x v="0"/>
  </r>
  <r>
    <s v="TX502005"/>
    <x v="6"/>
    <x v="12"/>
    <x v="397"/>
    <n v="165.2"/>
    <d v="2025-03-15T00:00:00"/>
    <d v="2025-03-17T00:00:00"/>
    <x v="2"/>
    <x v="3"/>
    <x v="2"/>
    <x v="0"/>
    <x v="1"/>
    <x v="1"/>
    <x v="10"/>
    <x v="2"/>
  </r>
  <r>
    <s v="TX502006"/>
    <x v="8"/>
    <x v="1"/>
    <x v="678"/>
    <n v="30.6"/>
    <d v="2025-03-15T00:00:00"/>
    <d v="2025-03-18T00:00:00"/>
    <x v="0"/>
    <x v="2"/>
    <x v="2"/>
    <x v="0"/>
    <x v="1"/>
    <x v="2"/>
    <x v="10"/>
    <x v="0"/>
  </r>
  <r>
    <s v="TX502007"/>
    <x v="1"/>
    <x v="0"/>
    <x v="514"/>
    <n v="54.6"/>
    <d v="2025-03-15T00:00:00"/>
    <d v="2025-03-17T00:00:00"/>
    <x v="1"/>
    <x v="1"/>
    <x v="1"/>
    <x v="0"/>
    <x v="2"/>
    <x v="1"/>
    <x v="10"/>
    <x v="1"/>
  </r>
  <r>
    <s v="TX502008"/>
    <x v="8"/>
    <x v="0"/>
    <x v="496"/>
    <n v="15.9"/>
    <d v="2025-03-15T00:00:00"/>
    <d v="2025-03-16T00:00:00"/>
    <x v="1"/>
    <x v="0"/>
    <x v="1"/>
    <x v="0"/>
    <x v="22"/>
    <x v="3"/>
    <x v="10"/>
    <x v="1"/>
  </r>
  <r>
    <s v="TX502009"/>
    <x v="9"/>
    <x v="0"/>
    <x v="534"/>
    <n v="50.2"/>
    <d v="2025-03-15T00:00:00"/>
    <d v="2025-03-17T00:00:00"/>
    <x v="2"/>
    <x v="3"/>
    <x v="2"/>
    <x v="0"/>
    <x v="34"/>
    <x v="1"/>
    <x v="10"/>
    <x v="2"/>
  </r>
  <r>
    <s v="TX502010"/>
    <x v="11"/>
    <x v="12"/>
    <x v="874"/>
    <n v="340.4"/>
    <d v="2025-03-15T00:00:00"/>
    <d v="2025-03-16T00:00:00"/>
    <x v="2"/>
    <x v="3"/>
    <x v="4"/>
    <x v="0"/>
    <x v="34"/>
    <x v="3"/>
    <x v="10"/>
    <x v="2"/>
  </r>
  <r>
    <s v="TX502011"/>
    <x v="11"/>
    <x v="1"/>
    <x v="50"/>
    <n v="82.8"/>
    <d v="2025-03-15T00:00:00"/>
    <d v="2025-03-16T00:00:00"/>
    <x v="2"/>
    <x v="0"/>
    <x v="2"/>
    <x v="0"/>
    <x v="3"/>
    <x v="3"/>
    <x v="10"/>
    <x v="2"/>
  </r>
  <r>
    <s v="TX502012"/>
    <x v="4"/>
    <x v="3"/>
    <x v="195"/>
    <n v="228.90000000000003"/>
    <d v="2025-03-15T00:00:00"/>
    <d v="2025-03-16T00:00:00"/>
    <x v="2"/>
    <x v="2"/>
    <x v="1"/>
    <x v="0"/>
    <x v="3"/>
    <x v="3"/>
    <x v="10"/>
    <x v="2"/>
  </r>
  <r>
    <s v="TX502013"/>
    <x v="4"/>
    <x v="1"/>
    <x v="654"/>
    <n v="83.2"/>
    <d v="2025-03-15T00:00:00"/>
    <d v="2025-03-17T00:00:00"/>
    <x v="1"/>
    <x v="4"/>
    <x v="1"/>
    <x v="0"/>
    <x v="3"/>
    <x v="1"/>
    <x v="10"/>
    <x v="1"/>
  </r>
  <r>
    <s v="TX502014"/>
    <x v="5"/>
    <x v="12"/>
    <x v="497"/>
    <n v="259.2"/>
    <d v="2025-03-15T00:00:00"/>
    <d v="2025-03-16T00:00:00"/>
    <x v="0"/>
    <x v="2"/>
    <x v="0"/>
    <x v="0"/>
    <x v="3"/>
    <x v="3"/>
    <x v="10"/>
    <x v="0"/>
  </r>
  <r>
    <s v="TX502015"/>
    <x v="15"/>
    <x v="1"/>
    <x v="570"/>
    <n v="67.2"/>
    <d v="2025-03-15T00:00:00"/>
    <d v="2025-03-16T00:00:00"/>
    <x v="1"/>
    <x v="0"/>
    <x v="2"/>
    <x v="0"/>
    <x v="3"/>
    <x v="3"/>
    <x v="10"/>
    <x v="1"/>
  </r>
  <r>
    <s v="TX502016"/>
    <x v="6"/>
    <x v="2"/>
    <x v="875"/>
    <n v="302.10000000000002"/>
    <d v="2025-03-15T00:00:00"/>
    <d v="2025-03-16T00:00:00"/>
    <x v="0"/>
    <x v="1"/>
    <x v="0"/>
    <x v="0"/>
    <x v="3"/>
    <x v="3"/>
    <x v="10"/>
    <x v="0"/>
  </r>
  <r>
    <s v="TX502017"/>
    <x v="4"/>
    <x v="1"/>
    <x v="660"/>
    <n v="98.6"/>
    <d v="2025-03-16T00:00:00"/>
    <d v="2025-03-18T00:00:00"/>
    <x v="2"/>
    <x v="4"/>
    <x v="2"/>
    <x v="0"/>
    <x v="3"/>
    <x v="1"/>
    <x v="11"/>
    <x v="2"/>
  </r>
  <r>
    <s v="TX502018"/>
    <x v="2"/>
    <x v="13"/>
    <x v="876"/>
    <n v="582"/>
    <d v="2025-03-16T00:00:00"/>
    <d v="2025-03-19T00:00:00"/>
    <x v="1"/>
    <x v="2"/>
    <x v="2"/>
    <x v="0"/>
    <x v="3"/>
    <x v="2"/>
    <x v="11"/>
    <x v="1"/>
  </r>
  <r>
    <s v="TX502019"/>
    <x v="0"/>
    <x v="13"/>
    <x v="19"/>
    <n v="151.19999999999999"/>
    <d v="2025-03-16T00:00:00"/>
    <d v="2025-03-19T00:00:00"/>
    <x v="2"/>
    <x v="4"/>
    <x v="2"/>
    <x v="0"/>
    <x v="3"/>
    <x v="2"/>
    <x v="11"/>
    <x v="2"/>
  </r>
  <r>
    <s v="TX502020"/>
    <x v="0"/>
    <x v="5"/>
    <x v="877"/>
    <n v="134.19999999999999"/>
    <d v="2025-03-16T00:00:00"/>
    <d v="2025-03-17T00:00:00"/>
    <x v="0"/>
    <x v="0"/>
    <x v="1"/>
    <x v="0"/>
    <x v="3"/>
    <x v="3"/>
    <x v="11"/>
    <x v="0"/>
  </r>
  <r>
    <s v="TX502021"/>
    <x v="8"/>
    <x v="3"/>
    <x v="665"/>
    <n v="271.59999999999997"/>
    <d v="2025-03-16T00:00:00"/>
    <d v="2025-03-18T00:00:00"/>
    <x v="2"/>
    <x v="1"/>
    <x v="1"/>
    <x v="0"/>
    <x v="23"/>
    <x v="1"/>
    <x v="11"/>
    <x v="2"/>
  </r>
  <r>
    <s v="TX502022"/>
    <x v="2"/>
    <x v="12"/>
    <x v="459"/>
    <n v="212.8"/>
    <d v="2025-03-16T00:00:00"/>
    <d v="2025-03-17T00:00:00"/>
    <x v="1"/>
    <x v="0"/>
    <x v="2"/>
    <x v="0"/>
    <x v="8"/>
    <x v="3"/>
    <x v="11"/>
    <x v="1"/>
  </r>
  <r>
    <s v="TX502023"/>
    <x v="6"/>
    <x v="3"/>
    <x v="878"/>
    <n v="1057"/>
    <d v="2025-03-16T00:00:00"/>
    <d v="2025-03-17T00:00:00"/>
    <x v="3"/>
    <x v="1"/>
    <x v="1"/>
    <x v="0"/>
    <x v="8"/>
    <x v="3"/>
    <x v="11"/>
    <x v="3"/>
  </r>
  <r>
    <s v="TX502024"/>
    <x v="1"/>
    <x v="1"/>
    <x v="719"/>
    <n v="74.2"/>
    <d v="2025-03-16T00:00:00"/>
    <d v="2025-03-17T00:00:00"/>
    <x v="2"/>
    <x v="4"/>
    <x v="0"/>
    <x v="0"/>
    <x v="8"/>
    <x v="3"/>
    <x v="11"/>
    <x v="2"/>
  </r>
  <r>
    <s v="TX502025"/>
    <x v="5"/>
    <x v="1"/>
    <x v="400"/>
    <n v="77.8"/>
    <d v="2025-03-16T00:00:00"/>
    <d v="2025-03-17T00:00:00"/>
    <x v="1"/>
    <x v="4"/>
    <x v="0"/>
    <x v="0"/>
    <x v="8"/>
    <x v="3"/>
    <x v="11"/>
    <x v="1"/>
  </r>
  <r>
    <s v="TX502026"/>
    <x v="10"/>
    <x v="1"/>
    <x v="200"/>
    <n v="70.400000000000006"/>
    <d v="2025-03-16T00:00:00"/>
    <d v="2025-03-17T00:00:00"/>
    <x v="1"/>
    <x v="0"/>
    <x v="2"/>
    <x v="0"/>
    <x v="17"/>
    <x v="3"/>
    <x v="11"/>
    <x v="1"/>
  </r>
  <r>
    <s v="TX502027"/>
    <x v="0"/>
    <x v="1"/>
    <x v="208"/>
    <n v="44.6"/>
    <d v="2025-03-16T00:00:00"/>
    <d v="2025-03-18T00:00:00"/>
    <x v="2"/>
    <x v="1"/>
    <x v="0"/>
    <x v="0"/>
    <x v="9"/>
    <x v="1"/>
    <x v="11"/>
    <x v="2"/>
  </r>
  <r>
    <s v="TX502028"/>
    <x v="9"/>
    <x v="0"/>
    <x v="705"/>
    <n v="43.3"/>
    <d v="2025-03-16T00:00:00"/>
    <d v="2025-03-19T00:00:00"/>
    <x v="2"/>
    <x v="0"/>
    <x v="2"/>
    <x v="0"/>
    <x v="11"/>
    <x v="2"/>
    <x v="11"/>
    <x v="2"/>
  </r>
  <r>
    <s v="TX502029"/>
    <x v="6"/>
    <x v="13"/>
    <x v="836"/>
    <n v="455.40000000000003"/>
    <d v="2025-03-16T00:00:00"/>
    <d v="2025-03-22T00:00:00"/>
    <x v="1"/>
    <x v="0"/>
    <x v="0"/>
    <x v="0"/>
    <x v="11"/>
    <x v="4"/>
    <x v="11"/>
    <x v="1"/>
  </r>
  <r>
    <s v="TX502030"/>
    <x v="6"/>
    <x v="2"/>
    <x v="685"/>
    <n v="236.10000000000002"/>
    <d v="2025-03-16T00:00:00"/>
    <d v="2025-03-20T00:00:00"/>
    <x v="2"/>
    <x v="2"/>
    <x v="1"/>
    <x v="0"/>
    <x v="11"/>
    <x v="5"/>
    <x v="11"/>
    <x v="2"/>
  </r>
  <r>
    <s v="TX502031"/>
    <x v="1"/>
    <x v="0"/>
    <x v="730"/>
    <n v="66.3"/>
    <d v="2025-03-16T00:00:00"/>
    <d v="2025-03-20T00:00:00"/>
    <x v="2"/>
    <x v="0"/>
    <x v="2"/>
    <x v="0"/>
    <x v="19"/>
    <x v="5"/>
    <x v="11"/>
    <x v="2"/>
  </r>
  <r>
    <s v="TX502032"/>
    <x v="8"/>
    <x v="1"/>
    <x v="570"/>
    <n v="67.2"/>
    <d v="2025-03-16T00:00:00"/>
    <d v="2025-03-16T00:00:00"/>
    <x v="1"/>
    <x v="0"/>
    <x v="1"/>
    <x v="0"/>
    <x v="19"/>
    <x v="7"/>
    <x v="11"/>
    <x v="1"/>
  </r>
  <r>
    <s v="TX502033"/>
    <x v="2"/>
    <x v="3"/>
    <x v="854"/>
    <n v="429.8"/>
    <d v="2025-03-16T00:00:00"/>
    <d v="2025-03-17T00:00:00"/>
    <x v="1"/>
    <x v="4"/>
    <x v="0"/>
    <x v="0"/>
    <x v="19"/>
    <x v="3"/>
    <x v="11"/>
    <x v="1"/>
  </r>
  <r>
    <s v="TX502034"/>
    <x v="8"/>
    <x v="1"/>
    <x v="25"/>
    <n v="35"/>
    <d v="2025-03-16T00:00:00"/>
    <d v="2025-03-19T00:00:00"/>
    <x v="2"/>
    <x v="0"/>
    <x v="0"/>
    <x v="0"/>
    <x v="21"/>
    <x v="2"/>
    <x v="11"/>
    <x v="2"/>
  </r>
  <r>
    <s v="TX502035"/>
    <x v="8"/>
    <x v="1"/>
    <x v="504"/>
    <n v="65"/>
    <d v="2025-03-16T00:00:00"/>
    <d v="2025-03-19T00:00:00"/>
    <x v="2"/>
    <x v="1"/>
    <x v="0"/>
    <x v="0"/>
    <x v="21"/>
    <x v="2"/>
    <x v="11"/>
    <x v="2"/>
  </r>
  <r>
    <s v="TX502036"/>
    <x v="4"/>
    <x v="0"/>
    <x v="292"/>
    <n v="34.6"/>
    <d v="2025-03-16T00:00:00"/>
    <d v="2025-03-17T00:00:00"/>
    <x v="2"/>
    <x v="4"/>
    <x v="0"/>
    <x v="0"/>
    <x v="21"/>
    <x v="3"/>
    <x v="11"/>
    <x v="2"/>
  </r>
  <r>
    <s v="TX502037"/>
    <x v="2"/>
    <x v="0"/>
    <x v="836"/>
    <n v="75.900000000000006"/>
    <d v="2025-03-16T00:00:00"/>
    <d v="2025-03-16T00:00:00"/>
    <x v="1"/>
    <x v="1"/>
    <x v="2"/>
    <x v="0"/>
    <x v="21"/>
    <x v="7"/>
    <x v="11"/>
    <x v="1"/>
  </r>
  <r>
    <s v="TX502038"/>
    <x v="1"/>
    <x v="2"/>
    <x v="624"/>
    <n v="126.30000000000001"/>
    <d v="2025-03-16T00:00:00"/>
    <d v="2025-03-19T00:00:00"/>
    <x v="1"/>
    <x v="1"/>
    <x v="1"/>
    <x v="0"/>
    <x v="21"/>
    <x v="2"/>
    <x v="11"/>
    <x v="1"/>
  </r>
  <r>
    <s v="TX502039"/>
    <x v="7"/>
    <x v="2"/>
    <x v="225"/>
    <n v="195.89999999999998"/>
    <d v="2025-03-16T00:00:00"/>
    <d v="2025-03-23T00:00:00"/>
    <x v="1"/>
    <x v="0"/>
    <x v="0"/>
    <x v="0"/>
    <x v="1"/>
    <x v="6"/>
    <x v="11"/>
    <x v="1"/>
  </r>
  <r>
    <s v="TX502040"/>
    <x v="15"/>
    <x v="0"/>
    <x v="468"/>
    <n v="20.6"/>
    <d v="2025-03-16T00:00:00"/>
    <d v="2025-03-19T00:00:00"/>
    <x v="1"/>
    <x v="3"/>
    <x v="0"/>
    <x v="0"/>
    <x v="42"/>
    <x v="2"/>
    <x v="11"/>
    <x v="1"/>
  </r>
  <r>
    <s v="TX502041"/>
    <x v="8"/>
    <x v="3"/>
    <x v="879"/>
    <n v="115.5"/>
    <d v="2025-03-16T00:00:00"/>
    <d v="2025-03-17T00:00:00"/>
    <x v="1"/>
    <x v="1"/>
    <x v="1"/>
    <x v="0"/>
    <x v="2"/>
    <x v="3"/>
    <x v="11"/>
    <x v="1"/>
  </r>
  <r>
    <s v="TX502042"/>
    <x v="16"/>
    <x v="7"/>
    <x v="310"/>
    <n v="362"/>
    <d v="2025-03-16T00:00:00"/>
    <d v="2025-03-18T00:00:00"/>
    <x v="1"/>
    <x v="0"/>
    <x v="2"/>
    <x v="0"/>
    <x v="2"/>
    <x v="1"/>
    <x v="11"/>
    <x v="1"/>
  </r>
  <r>
    <s v="TX502043"/>
    <x v="6"/>
    <x v="0"/>
    <x v="459"/>
    <n v="53.2"/>
    <d v="2025-03-16T00:00:00"/>
    <d v="2025-03-17T00:00:00"/>
    <x v="2"/>
    <x v="0"/>
    <x v="1"/>
    <x v="0"/>
    <x v="22"/>
    <x v="3"/>
    <x v="11"/>
    <x v="2"/>
  </r>
  <r>
    <s v="TX502044"/>
    <x v="2"/>
    <x v="21"/>
    <x v="880"/>
    <n v="2464"/>
    <d v="2025-03-16T00:00:00"/>
    <d v="2025-03-17T00:00:00"/>
    <x v="2"/>
    <x v="0"/>
    <x v="1"/>
    <x v="0"/>
    <x v="3"/>
    <x v="3"/>
    <x v="11"/>
    <x v="2"/>
  </r>
  <r>
    <s v="TX502045"/>
    <x v="1"/>
    <x v="0"/>
    <x v="515"/>
    <n v="52.4"/>
    <d v="2025-03-16T00:00:00"/>
    <d v="2025-03-17T00:00:00"/>
    <x v="1"/>
    <x v="1"/>
    <x v="0"/>
    <x v="0"/>
    <x v="3"/>
    <x v="3"/>
    <x v="11"/>
    <x v="1"/>
  </r>
  <r>
    <s v="TX502046"/>
    <x v="10"/>
    <x v="2"/>
    <x v="297"/>
    <n v="144.60000000000002"/>
    <d v="2025-03-16T00:00:00"/>
    <d v="2025-03-17T00:00:00"/>
    <x v="2"/>
    <x v="1"/>
    <x v="2"/>
    <x v="0"/>
    <x v="3"/>
    <x v="3"/>
    <x v="11"/>
    <x v="2"/>
  </r>
  <r>
    <s v="TX502047"/>
    <x v="15"/>
    <x v="0"/>
    <x v="728"/>
    <n v="51.6"/>
    <d v="2025-03-16T00:00:00"/>
    <d v="2025-03-20T00:00:00"/>
    <x v="2"/>
    <x v="2"/>
    <x v="1"/>
    <x v="0"/>
    <x v="3"/>
    <x v="5"/>
    <x v="11"/>
    <x v="2"/>
  </r>
  <r>
    <s v="TX502048"/>
    <x v="0"/>
    <x v="12"/>
    <x v="532"/>
    <n v="134.80000000000001"/>
    <d v="2025-03-17T00:00:00"/>
    <d v="2025-03-18T00:00:00"/>
    <x v="1"/>
    <x v="0"/>
    <x v="0"/>
    <x v="0"/>
    <x v="3"/>
    <x v="3"/>
    <x v="11"/>
    <x v="1"/>
  </r>
  <r>
    <s v="TX502049"/>
    <x v="4"/>
    <x v="7"/>
    <x v="791"/>
    <n v="363"/>
    <d v="2025-03-17T00:00:00"/>
    <d v="2025-03-19T00:00:00"/>
    <x v="2"/>
    <x v="4"/>
    <x v="1"/>
    <x v="0"/>
    <x v="3"/>
    <x v="1"/>
    <x v="11"/>
    <x v="2"/>
  </r>
  <r>
    <s v="TX502050"/>
    <x v="8"/>
    <x v="0"/>
    <x v="139"/>
    <n v="23.4"/>
    <d v="2025-03-17T00:00:00"/>
    <d v="2025-03-22T00:00:00"/>
    <x v="2"/>
    <x v="1"/>
    <x v="2"/>
    <x v="0"/>
    <x v="3"/>
    <x v="0"/>
    <x v="11"/>
    <x v="2"/>
  </r>
  <r>
    <s v="TX502051"/>
    <x v="15"/>
    <x v="8"/>
    <x v="472"/>
    <n v="452.8"/>
    <d v="2025-03-17T00:00:00"/>
    <d v="2025-03-19T00:00:00"/>
    <x v="2"/>
    <x v="1"/>
    <x v="0"/>
    <x v="0"/>
    <x v="3"/>
    <x v="1"/>
    <x v="11"/>
    <x v="2"/>
  </r>
  <r>
    <s v="TX502052"/>
    <x v="15"/>
    <x v="1"/>
    <x v="48"/>
    <n v="53.6"/>
    <d v="2025-03-17T00:00:00"/>
    <d v="2025-03-18T00:00:00"/>
    <x v="1"/>
    <x v="0"/>
    <x v="0"/>
    <x v="0"/>
    <x v="4"/>
    <x v="3"/>
    <x v="11"/>
    <x v="1"/>
  </r>
  <r>
    <s v="TX502053"/>
    <x v="0"/>
    <x v="2"/>
    <x v="229"/>
    <n v="33.900000000000006"/>
    <d v="2025-03-17T00:00:00"/>
    <d v="2025-03-19T00:00:00"/>
    <x v="1"/>
    <x v="2"/>
    <x v="0"/>
    <x v="0"/>
    <x v="25"/>
    <x v="1"/>
    <x v="11"/>
    <x v="1"/>
  </r>
  <r>
    <s v="TX502054"/>
    <x v="6"/>
    <x v="2"/>
    <x v="110"/>
    <n v="180.3"/>
    <d v="2025-03-17T00:00:00"/>
    <d v="2025-03-20T00:00:00"/>
    <x v="2"/>
    <x v="0"/>
    <x v="0"/>
    <x v="0"/>
    <x v="7"/>
    <x v="2"/>
    <x v="11"/>
    <x v="2"/>
  </r>
  <r>
    <s v="TX502055"/>
    <x v="0"/>
    <x v="5"/>
    <x v="389"/>
    <n v="304.7"/>
    <d v="2025-03-17T00:00:00"/>
    <d v="2025-03-22T00:00:00"/>
    <x v="2"/>
    <x v="0"/>
    <x v="0"/>
    <x v="0"/>
    <x v="8"/>
    <x v="0"/>
    <x v="11"/>
    <x v="2"/>
  </r>
  <r>
    <s v="TX502056"/>
    <x v="15"/>
    <x v="0"/>
    <x v="254"/>
    <n v="71.400000000000006"/>
    <d v="2025-03-17T00:00:00"/>
    <d v="2025-03-20T00:00:00"/>
    <x v="1"/>
    <x v="0"/>
    <x v="2"/>
    <x v="0"/>
    <x v="8"/>
    <x v="2"/>
    <x v="11"/>
    <x v="1"/>
  </r>
  <r>
    <s v="TX502057"/>
    <x v="2"/>
    <x v="1"/>
    <x v="14"/>
    <n v="133.4"/>
    <d v="2025-03-17T00:00:00"/>
    <d v="2025-03-18T00:00:00"/>
    <x v="2"/>
    <x v="0"/>
    <x v="2"/>
    <x v="0"/>
    <x v="8"/>
    <x v="3"/>
    <x v="11"/>
    <x v="2"/>
  </r>
  <r>
    <s v="TX502058"/>
    <x v="13"/>
    <x v="9"/>
    <x v="644"/>
    <n v="195.5"/>
    <d v="2025-03-17T00:00:00"/>
    <d v="2025-03-18T00:00:00"/>
    <x v="2"/>
    <x v="0"/>
    <x v="0"/>
    <x v="0"/>
    <x v="8"/>
    <x v="3"/>
    <x v="11"/>
    <x v="2"/>
  </r>
  <r>
    <s v="TX502059"/>
    <x v="8"/>
    <x v="12"/>
    <x v="187"/>
    <n v="99.6"/>
    <d v="2025-03-17T00:00:00"/>
    <d v="2025-03-22T00:00:00"/>
    <x v="1"/>
    <x v="1"/>
    <x v="2"/>
    <x v="0"/>
    <x v="8"/>
    <x v="0"/>
    <x v="11"/>
    <x v="1"/>
  </r>
  <r>
    <s v="TX502060"/>
    <x v="5"/>
    <x v="9"/>
    <x v="402"/>
    <n v="146"/>
    <d v="2025-03-17T00:00:00"/>
    <d v="2025-03-18T00:00:00"/>
    <x v="1"/>
    <x v="0"/>
    <x v="2"/>
    <x v="0"/>
    <x v="17"/>
    <x v="3"/>
    <x v="11"/>
    <x v="1"/>
  </r>
  <r>
    <s v="TX502061"/>
    <x v="13"/>
    <x v="21"/>
    <x v="805"/>
    <n v="396.2"/>
    <d v="2025-03-17T00:00:00"/>
    <d v="2025-03-19T00:00:00"/>
    <x v="2"/>
    <x v="1"/>
    <x v="0"/>
    <x v="0"/>
    <x v="11"/>
    <x v="1"/>
    <x v="11"/>
    <x v="2"/>
  </r>
  <r>
    <s v="TX502062"/>
    <x v="9"/>
    <x v="2"/>
    <x v="256"/>
    <n v="113.39999999999999"/>
    <d v="2025-03-17T00:00:00"/>
    <d v="2025-03-18T00:00:00"/>
    <x v="2"/>
    <x v="0"/>
    <x v="1"/>
    <x v="0"/>
    <x v="11"/>
    <x v="3"/>
    <x v="11"/>
    <x v="2"/>
  </r>
  <r>
    <s v="TX502063"/>
    <x v="14"/>
    <x v="3"/>
    <x v="257"/>
    <n v="196.70000000000002"/>
    <d v="2025-03-17T00:00:00"/>
    <d v="2025-03-23T00:00:00"/>
    <x v="2"/>
    <x v="2"/>
    <x v="0"/>
    <x v="0"/>
    <x v="11"/>
    <x v="4"/>
    <x v="11"/>
    <x v="2"/>
  </r>
  <r>
    <s v="TX502064"/>
    <x v="1"/>
    <x v="2"/>
    <x v="115"/>
    <n v="179.10000000000002"/>
    <d v="2025-03-17T00:00:00"/>
    <d v="2025-03-19T00:00:00"/>
    <x v="2"/>
    <x v="2"/>
    <x v="0"/>
    <x v="0"/>
    <x v="11"/>
    <x v="1"/>
    <x v="11"/>
    <x v="2"/>
  </r>
  <r>
    <s v="TX502065"/>
    <x v="16"/>
    <x v="0"/>
    <x v="774"/>
    <n v="71.900000000000006"/>
    <d v="2025-03-17T00:00:00"/>
    <d v="2025-03-18T00:00:00"/>
    <x v="1"/>
    <x v="1"/>
    <x v="1"/>
    <x v="0"/>
    <x v="11"/>
    <x v="3"/>
    <x v="11"/>
    <x v="1"/>
  </r>
  <r>
    <s v="TX502066"/>
    <x v="1"/>
    <x v="1"/>
    <x v="881"/>
    <n v="113.8"/>
    <d v="2025-03-17T00:00:00"/>
    <d v="2025-03-18T00:00:00"/>
    <x v="1"/>
    <x v="2"/>
    <x v="0"/>
    <x v="0"/>
    <x v="13"/>
    <x v="3"/>
    <x v="11"/>
    <x v="1"/>
  </r>
  <r>
    <s v="TX502067"/>
    <x v="8"/>
    <x v="1"/>
    <x v="35"/>
    <n v="31.6"/>
    <d v="2025-03-17T00:00:00"/>
    <d v="2025-03-20T00:00:00"/>
    <x v="2"/>
    <x v="2"/>
    <x v="1"/>
    <x v="0"/>
    <x v="1"/>
    <x v="2"/>
    <x v="11"/>
    <x v="2"/>
  </r>
  <r>
    <s v="TX502068"/>
    <x v="11"/>
    <x v="12"/>
    <x v="227"/>
    <n v="246.8"/>
    <d v="2025-03-17T00:00:00"/>
    <d v="2025-03-19T00:00:00"/>
    <x v="2"/>
    <x v="2"/>
    <x v="0"/>
    <x v="0"/>
    <x v="22"/>
    <x v="1"/>
    <x v="11"/>
    <x v="2"/>
  </r>
  <r>
    <s v="TX502069"/>
    <x v="2"/>
    <x v="7"/>
    <x v="882"/>
    <n v="1052"/>
    <d v="2025-03-17T00:00:00"/>
    <d v="2025-03-19T00:00:00"/>
    <x v="1"/>
    <x v="1"/>
    <x v="4"/>
    <x v="0"/>
    <x v="3"/>
    <x v="1"/>
    <x v="11"/>
    <x v="1"/>
  </r>
  <r>
    <s v="TX502070"/>
    <x v="0"/>
    <x v="1"/>
    <x v="771"/>
    <n v="34"/>
    <d v="2025-03-17T00:00:00"/>
    <d v="2025-03-19T00:00:00"/>
    <x v="2"/>
    <x v="2"/>
    <x v="0"/>
    <x v="0"/>
    <x v="3"/>
    <x v="1"/>
    <x v="11"/>
    <x v="2"/>
  </r>
  <r>
    <s v="TX502071"/>
    <x v="6"/>
    <x v="2"/>
    <x v="883"/>
    <n v="252.29999999999998"/>
    <d v="2025-03-17T00:00:00"/>
    <d v="2025-03-18T00:00:00"/>
    <x v="1"/>
    <x v="2"/>
    <x v="0"/>
    <x v="0"/>
    <x v="3"/>
    <x v="3"/>
    <x v="11"/>
    <x v="1"/>
  </r>
  <r>
    <s v="TX502072"/>
    <x v="3"/>
    <x v="12"/>
    <x v="233"/>
    <n v="238"/>
    <d v="2025-03-17T00:00:00"/>
    <d v="2025-03-22T00:00:00"/>
    <x v="1"/>
    <x v="0"/>
    <x v="2"/>
    <x v="0"/>
    <x v="3"/>
    <x v="0"/>
    <x v="11"/>
    <x v="1"/>
  </r>
  <r>
    <s v="TX502073"/>
    <x v="8"/>
    <x v="1"/>
    <x v="884"/>
    <n v="115"/>
    <d v="2025-03-17T00:00:00"/>
    <d v="2025-03-19T00:00:00"/>
    <x v="1"/>
    <x v="1"/>
    <x v="2"/>
    <x v="0"/>
    <x v="3"/>
    <x v="1"/>
    <x v="11"/>
    <x v="1"/>
  </r>
  <r>
    <s v="TX502074"/>
    <x v="8"/>
    <x v="0"/>
    <x v="695"/>
    <n v="34.299999999999997"/>
    <d v="2025-03-17T00:00:00"/>
    <d v="2025-03-18T00:00:00"/>
    <x v="2"/>
    <x v="4"/>
    <x v="2"/>
    <x v="0"/>
    <x v="3"/>
    <x v="3"/>
    <x v="11"/>
    <x v="2"/>
  </r>
  <r>
    <s v="TX502075"/>
    <x v="5"/>
    <x v="1"/>
    <x v="646"/>
    <n v="55.6"/>
    <d v="2025-03-18T00:00:00"/>
    <d v="2025-03-20T00:00:00"/>
    <x v="2"/>
    <x v="0"/>
    <x v="0"/>
    <x v="0"/>
    <x v="3"/>
    <x v="1"/>
    <x v="11"/>
    <x v="2"/>
  </r>
  <r>
    <s v="TX502076"/>
    <x v="12"/>
    <x v="1"/>
    <x v="345"/>
    <n v="170"/>
    <d v="2025-03-18T00:00:00"/>
    <d v="2025-03-18T00:00:00"/>
    <x v="1"/>
    <x v="2"/>
    <x v="2"/>
    <x v="0"/>
    <x v="3"/>
    <x v="7"/>
    <x v="11"/>
    <x v="1"/>
  </r>
  <r>
    <s v="TX502077"/>
    <x v="6"/>
    <x v="1"/>
    <x v="831"/>
    <n v="190"/>
    <d v="2025-03-18T00:00:00"/>
    <d v="2025-03-20T00:00:00"/>
    <x v="2"/>
    <x v="0"/>
    <x v="0"/>
    <x v="0"/>
    <x v="3"/>
    <x v="1"/>
    <x v="11"/>
    <x v="2"/>
  </r>
  <r>
    <s v="TX502078"/>
    <x v="16"/>
    <x v="1"/>
    <x v="34"/>
    <n v="64"/>
    <d v="2025-03-18T00:00:00"/>
    <d v="2025-03-20T00:00:00"/>
    <x v="1"/>
    <x v="0"/>
    <x v="1"/>
    <x v="0"/>
    <x v="3"/>
    <x v="1"/>
    <x v="11"/>
    <x v="1"/>
  </r>
  <r>
    <s v="TX502079"/>
    <x v="2"/>
    <x v="1"/>
    <x v="203"/>
    <n v="130.4"/>
    <d v="2025-03-18T00:00:00"/>
    <d v="2025-03-19T00:00:00"/>
    <x v="2"/>
    <x v="1"/>
    <x v="0"/>
    <x v="0"/>
    <x v="3"/>
    <x v="3"/>
    <x v="11"/>
    <x v="2"/>
  </r>
  <r>
    <s v="TX502080"/>
    <x v="17"/>
    <x v="12"/>
    <x v="595"/>
    <n v="88"/>
    <d v="2025-03-18T00:00:00"/>
    <d v="2025-03-19T00:00:00"/>
    <x v="1"/>
    <x v="1"/>
    <x v="2"/>
    <x v="0"/>
    <x v="3"/>
    <x v="3"/>
    <x v="11"/>
    <x v="1"/>
  </r>
  <r>
    <s v="TX502081"/>
    <x v="15"/>
    <x v="2"/>
    <x v="135"/>
    <n v="208.20000000000002"/>
    <d v="2025-03-18T00:00:00"/>
    <d v="2025-03-21T00:00:00"/>
    <x v="1"/>
    <x v="1"/>
    <x v="2"/>
    <x v="0"/>
    <x v="3"/>
    <x v="2"/>
    <x v="11"/>
    <x v="1"/>
  </r>
  <r>
    <s v="TX502082"/>
    <x v="10"/>
    <x v="13"/>
    <x v="217"/>
    <n v="189"/>
    <d v="2025-03-18T00:00:00"/>
    <d v="2025-03-20T00:00:00"/>
    <x v="2"/>
    <x v="0"/>
    <x v="2"/>
    <x v="0"/>
    <x v="3"/>
    <x v="1"/>
    <x v="11"/>
    <x v="2"/>
  </r>
  <r>
    <s v="TX502083"/>
    <x v="6"/>
    <x v="0"/>
    <x v="511"/>
    <n v="45.8"/>
    <d v="2025-03-18T00:00:00"/>
    <d v="2025-03-22T00:00:00"/>
    <x v="3"/>
    <x v="0"/>
    <x v="0"/>
    <x v="0"/>
    <x v="3"/>
    <x v="5"/>
    <x v="11"/>
    <x v="3"/>
  </r>
  <r>
    <s v="TX502084"/>
    <x v="19"/>
    <x v="12"/>
    <x v="885"/>
    <n v="51.2"/>
    <d v="2025-03-18T00:00:00"/>
    <d v="2025-03-25T00:00:00"/>
    <x v="2"/>
    <x v="1"/>
    <x v="1"/>
    <x v="0"/>
    <x v="5"/>
    <x v="6"/>
    <x v="11"/>
    <x v="2"/>
  </r>
  <r>
    <s v="TX502085"/>
    <x v="5"/>
    <x v="2"/>
    <x v="886"/>
    <n v="345.9"/>
    <d v="2025-03-18T00:00:00"/>
    <d v="2025-03-19T00:00:00"/>
    <x v="2"/>
    <x v="2"/>
    <x v="2"/>
    <x v="0"/>
    <x v="6"/>
    <x v="3"/>
    <x v="11"/>
    <x v="2"/>
  </r>
  <r>
    <s v="TX502086"/>
    <x v="5"/>
    <x v="1"/>
    <x v="345"/>
    <n v="170"/>
    <d v="2025-03-18T00:00:00"/>
    <d v="2025-03-20T00:00:00"/>
    <x v="2"/>
    <x v="1"/>
    <x v="0"/>
    <x v="0"/>
    <x v="7"/>
    <x v="1"/>
    <x v="11"/>
    <x v="2"/>
  </r>
  <r>
    <s v="TX502087"/>
    <x v="8"/>
    <x v="2"/>
    <x v="472"/>
    <n v="169.8"/>
    <d v="2025-03-18T00:00:00"/>
    <d v="2025-03-19T00:00:00"/>
    <x v="2"/>
    <x v="1"/>
    <x v="2"/>
    <x v="0"/>
    <x v="7"/>
    <x v="3"/>
    <x v="11"/>
    <x v="2"/>
  </r>
  <r>
    <s v="TX502088"/>
    <x v="15"/>
    <x v="6"/>
    <x v="425"/>
    <n v="1250.0999999999999"/>
    <d v="2025-03-18T00:00:00"/>
    <d v="2025-03-21T00:00:00"/>
    <x v="1"/>
    <x v="0"/>
    <x v="0"/>
    <x v="0"/>
    <x v="7"/>
    <x v="2"/>
    <x v="11"/>
    <x v="1"/>
  </r>
  <r>
    <s v="TX502089"/>
    <x v="14"/>
    <x v="12"/>
    <x v="887"/>
    <n v="92"/>
    <d v="2025-03-18T00:00:00"/>
    <d v="2025-03-22T00:00:00"/>
    <x v="1"/>
    <x v="3"/>
    <x v="2"/>
    <x v="0"/>
    <x v="7"/>
    <x v="5"/>
    <x v="11"/>
    <x v="1"/>
  </r>
  <r>
    <s v="TX502090"/>
    <x v="8"/>
    <x v="13"/>
    <x v="624"/>
    <n v="252.60000000000002"/>
    <d v="2025-03-18T00:00:00"/>
    <d v="2025-03-20T00:00:00"/>
    <x v="1"/>
    <x v="4"/>
    <x v="0"/>
    <x v="0"/>
    <x v="8"/>
    <x v="1"/>
    <x v="11"/>
    <x v="1"/>
  </r>
  <r>
    <s v="TX502091"/>
    <x v="5"/>
    <x v="3"/>
    <x v="214"/>
    <n v="401.8"/>
    <d v="2025-03-18T00:00:00"/>
    <d v="2025-03-22T00:00:00"/>
    <x v="2"/>
    <x v="1"/>
    <x v="4"/>
    <x v="0"/>
    <x v="8"/>
    <x v="5"/>
    <x v="11"/>
    <x v="2"/>
  </r>
  <r>
    <s v="TX502092"/>
    <x v="0"/>
    <x v="13"/>
    <x v="888"/>
    <n v="79.199999999999989"/>
    <d v="2025-03-18T00:00:00"/>
    <d v="2025-03-22T00:00:00"/>
    <x v="1"/>
    <x v="2"/>
    <x v="0"/>
    <x v="0"/>
    <x v="8"/>
    <x v="5"/>
    <x v="11"/>
    <x v="1"/>
  </r>
  <r>
    <s v="TX502093"/>
    <x v="6"/>
    <x v="2"/>
    <x v="574"/>
    <n v="156.89999999999998"/>
    <d v="2025-03-18T00:00:00"/>
    <d v="2025-03-19T00:00:00"/>
    <x v="1"/>
    <x v="1"/>
    <x v="0"/>
    <x v="0"/>
    <x v="8"/>
    <x v="3"/>
    <x v="11"/>
    <x v="1"/>
  </r>
  <r>
    <s v="TX502094"/>
    <x v="8"/>
    <x v="1"/>
    <x v="137"/>
    <n v="31.4"/>
    <d v="2025-03-18T00:00:00"/>
    <d v="2025-03-21T00:00:00"/>
    <x v="1"/>
    <x v="1"/>
    <x v="2"/>
    <x v="0"/>
    <x v="8"/>
    <x v="2"/>
    <x v="11"/>
    <x v="1"/>
  </r>
  <r>
    <s v="TX502095"/>
    <x v="7"/>
    <x v="2"/>
    <x v="775"/>
    <n v="105"/>
    <d v="2025-03-18T00:00:00"/>
    <d v="2025-03-21T00:00:00"/>
    <x v="2"/>
    <x v="1"/>
    <x v="2"/>
    <x v="0"/>
    <x v="9"/>
    <x v="2"/>
    <x v="11"/>
    <x v="2"/>
  </r>
  <r>
    <s v="TX502096"/>
    <x v="4"/>
    <x v="2"/>
    <x v="439"/>
    <n v="79.800000000000011"/>
    <d v="2025-03-18T00:00:00"/>
    <d v="2025-03-18T00:00:00"/>
    <x v="1"/>
    <x v="1"/>
    <x v="2"/>
    <x v="0"/>
    <x v="11"/>
    <x v="7"/>
    <x v="11"/>
    <x v="1"/>
  </r>
  <r>
    <s v="TX502097"/>
    <x v="4"/>
    <x v="8"/>
    <x v="367"/>
    <n v="383.2"/>
    <d v="2025-03-19T00:00:00"/>
    <d v="2025-03-20T00:00:00"/>
    <x v="2"/>
    <x v="3"/>
    <x v="2"/>
    <x v="0"/>
    <x v="20"/>
    <x v="3"/>
    <x v="11"/>
    <x v="2"/>
  </r>
  <r>
    <s v="TX502098"/>
    <x v="5"/>
    <x v="0"/>
    <x v="889"/>
    <n v="80.099999999999994"/>
    <d v="2025-03-19T00:00:00"/>
    <d v="2025-03-20T00:00:00"/>
    <x v="1"/>
    <x v="2"/>
    <x v="0"/>
    <x v="0"/>
    <x v="21"/>
    <x v="3"/>
    <x v="11"/>
    <x v="1"/>
  </r>
  <r>
    <s v="TX502099"/>
    <x v="6"/>
    <x v="9"/>
    <x v="88"/>
    <n v="252"/>
    <d v="2025-03-19T00:00:00"/>
    <d v="2025-03-20T00:00:00"/>
    <x v="1"/>
    <x v="1"/>
    <x v="2"/>
    <x v="0"/>
    <x v="21"/>
    <x v="3"/>
    <x v="11"/>
    <x v="1"/>
  </r>
  <r>
    <s v="TX502100"/>
    <x v="10"/>
    <x v="3"/>
    <x v="705"/>
    <n v="303.09999999999997"/>
    <d v="2025-03-19T00:00:00"/>
    <d v="2025-03-20T00:00:00"/>
    <x v="1"/>
    <x v="2"/>
    <x v="0"/>
    <x v="0"/>
    <x v="21"/>
    <x v="3"/>
    <x v="11"/>
    <x v="1"/>
  </r>
  <r>
    <s v="TX502101"/>
    <x v="10"/>
    <x v="12"/>
    <x v="884"/>
    <n v="230"/>
    <d v="2025-03-19T00:00:00"/>
    <d v="2025-03-20T00:00:00"/>
    <x v="2"/>
    <x v="1"/>
    <x v="2"/>
    <x v="0"/>
    <x v="1"/>
    <x v="3"/>
    <x v="11"/>
    <x v="2"/>
  </r>
  <r>
    <s v="TX502102"/>
    <x v="9"/>
    <x v="15"/>
    <x v="486"/>
    <n v="322.40000000000003"/>
    <d v="2025-03-19T00:00:00"/>
    <d v="2025-03-20T00:00:00"/>
    <x v="1"/>
    <x v="0"/>
    <x v="0"/>
    <x v="0"/>
    <x v="57"/>
    <x v="3"/>
    <x v="11"/>
    <x v="1"/>
  </r>
  <r>
    <s v="TX502103"/>
    <x v="2"/>
    <x v="11"/>
    <x v="753"/>
    <n v="771.30000000000007"/>
    <d v="2025-03-19T00:00:00"/>
    <d v="2025-03-20T00:00:00"/>
    <x v="2"/>
    <x v="0"/>
    <x v="0"/>
    <x v="0"/>
    <x v="42"/>
    <x v="3"/>
    <x v="11"/>
    <x v="2"/>
  </r>
  <r>
    <s v="TX502104"/>
    <x v="7"/>
    <x v="0"/>
    <x v="344"/>
    <n v="47.1"/>
    <d v="2025-03-19T00:00:00"/>
    <d v="2025-03-21T00:00:00"/>
    <x v="2"/>
    <x v="0"/>
    <x v="0"/>
    <x v="0"/>
    <x v="2"/>
    <x v="1"/>
    <x v="11"/>
    <x v="2"/>
  </r>
  <r>
    <s v="TX502105"/>
    <x v="5"/>
    <x v="7"/>
    <x v="890"/>
    <n v="832"/>
    <d v="2025-03-19T00:00:00"/>
    <d v="2025-03-23T00:00:00"/>
    <x v="2"/>
    <x v="0"/>
    <x v="0"/>
    <x v="0"/>
    <x v="33"/>
    <x v="5"/>
    <x v="11"/>
    <x v="2"/>
  </r>
  <r>
    <s v="TX502106"/>
    <x v="2"/>
    <x v="2"/>
    <x v="891"/>
    <n v="471"/>
    <d v="2025-03-19T00:00:00"/>
    <d v="2025-03-21T00:00:00"/>
    <x v="2"/>
    <x v="0"/>
    <x v="2"/>
    <x v="0"/>
    <x v="22"/>
    <x v="1"/>
    <x v="11"/>
    <x v="2"/>
  </r>
  <r>
    <s v="TX502107"/>
    <x v="16"/>
    <x v="12"/>
    <x v="532"/>
    <n v="134.80000000000001"/>
    <d v="2025-03-19T00:00:00"/>
    <d v="2025-03-20T00:00:00"/>
    <x v="1"/>
    <x v="2"/>
    <x v="2"/>
    <x v="0"/>
    <x v="22"/>
    <x v="3"/>
    <x v="11"/>
    <x v="1"/>
  </r>
  <r>
    <s v="TX502108"/>
    <x v="2"/>
    <x v="2"/>
    <x v="553"/>
    <n v="182.39999999999998"/>
    <d v="2025-03-19T00:00:00"/>
    <d v="2025-03-23T00:00:00"/>
    <x v="2"/>
    <x v="1"/>
    <x v="1"/>
    <x v="0"/>
    <x v="3"/>
    <x v="5"/>
    <x v="11"/>
    <x v="2"/>
  </r>
  <r>
    <s v="TX502109"/>
    <x v="7"/>
    <x v="0"/>
    <x v="222"/>
    <n v="57.6"/>
    <d v="2025-03-19T00:00:00"/>
    <d v="2025-03-20T00:00:00"/>
    <x v="1"/>
    <x v="1"/>
    <x v="4"/>
    <x v="0"/>
    <x v="3"/>
    <x v="3"/>
    <x v="11"/>
    <x v="1"/>
  </r>
  <r>
    <s v="TX502110"/>
    <x v="10"/>
    <x v="0"/>
    <x v="34"/>
    <n v="32"/>
    <d v="2025-03-19T00:00:00"/>
    <d v="2025-03-21T00:00:00"/>
    <x v="1"/>
    <x v="0"/>
    <x v="0"/>
    <x v="0"/>
    <x v="3"/>
    <x v="1"/>
    <x v="11"/>
    <x v="1"/>
  </r>
  <r>
    <s v="TX502111"/>
    <x v="10"/>
    <x v="12"/>
    <x v="234"/>
    <n v="94"/>
    <d v="2025-03-19T00:00:00"/>
    <d v="2025-03-20T00:00:00"/>
    <x v="2"/>
    <x v="0"/>
    <x v="2"/>
    <x v="0"/>
    <x v="3"/>
    <x v="3"/>
    <x v="11"/>
    <x v="2"/>
  </r>
  <r>
    <s v="TX502112"/>
    <x v="12"/>
    <x v="2"/>
    <x v="788"/>
    <n v="134.39999999999998"/>
    <d v="2025-03-19T00:00:00"/>
    <d v="2025-03-20T00:00:00"/>
    <x v="3"/>
    <x v="4"/>
    <x v="0"/>
    <x v="0"/>
    <x v="3"/>
    <x v="3"/>
    <x v="11"/>
    <x v="3"/>
  </r>
  <r>
    <s v="TX502113"/>
    <x v="0"/>
    <x v="8"/>
    <x v="860"/>
    <n v="93.6"/>
    <d v="2025-03-19T00:00:00"/>
    <d v="2025-03-20T00:00:00"/>
    <x v="1"/>
    <x v="2"/>
    <x v="2"/>
    <x v="0"/>
    <x v="3"/>
    <x v="3"/>
    <x v="11"/>
    <x v="1"/>
  </r>
  <r>
    <s v="TX502114"/>
    <x v="7"/>
    <x v="1"/>
    <x v="665"/>
    <n v="77.599999999999994"/>
    <d v="2025-03-19T00:00:00"/>
    <d v="2025-03-22T00:00:00"/>
    <x v="2"/>
    <x v="2"/>
    <x v="0"/>
    <x v="0"/>
    <x v="3"/>
    <x v="2"/>
    <x v="11"/>
    <x v="2"/>
  </r>
  <r>
    <s v="TX502115"/>
    <x v="5"/>
    <x v="21"/>
    <x v="724"/>
    <n v="1216.6000000000001"/>
    <d v="2025-03-19T00:00:00"/>
    <d v="2025-03-24T00:00:00"/>
    <x v="2"/>
    <x v="1"/>
    <x v="0"/>
    <x v="0"/>
    <x v="3"/>
    <x v="0"/>
    <x v="11"/>
    <x v="2"/>
  </r>
  <r>
    <s v="TX502116"/>
    <x v="8"/>
    <x v="0"/>
    <x v="383"/>
    <n v="18.3"/>
    <d v="2025-03-19T00:00:00"/>
    <d v="2025-03-20T00:00:00"/>
    <x v="2"/>
    <x v="0"/>
    <x v="0"/>
    <x v="0"/>
    <x v="3"/>
    <x v="3"/>
    <x v="11"/>
    <x v="2"/>
  </r>
  <r>
    <s v="TX502117"/>
    <x v="5"/>
    <x v="0"/>
    <x v="356"/>
    <n v="47.5"/>
    <d v="2025-03-19T00:00:00"/>
    <d v="2025-03-23T00:00:00"/>
    <x v="1"/>
    <x v="4"/>
    <x v="2"/>
    <x v="0"/>
    <x v="3"/>
    <x v="5"/>
    <x v="11"/>
    <x v="1"/>
  </r>
  <r>
    <s v="TX502118"/>
    <x v="1"/>
    <x v="1"/>
    <x v="716"/>
    <n v="157.19999999999999"/>
    <d v="2025-03-19T00:00:00"/>
    <d v="2025-03-20T00:00:00"/>
    <x v="1"/>
    <x v="2"/>
    <x v="2"/>
    <x v="0"/>
    <x v="3"/>
    <x v="3"/>
    <x v="11"/>
    <x v="1"/>
  </r>
  <r>
    <s v="TX502119"/>
    <x v="6"/>
    <x v="12"/>
    <x v="317"/>
    <n v="349.2"/>
    <d v="2025-03-19T00:00:00"/>
    <d v="2025-03-20T00:00:00"/>
    <x v="1"/>
    <x v="0"/>
    <x v="0"/>
    <x v="0"/>
    <x v="3"/>
    <x v="3"/>
    <x v="11"/>
    <x v="1"/>
  </r>
  <r>
    <s v="TX502120"/>
    <x v="9"/>
    <x v="1"/>
    <x v="56"/>
    <n v="126.4"/>
    <d v="2025-03-19T00:00:00"/>
    <d v="2025-03-19T00:00:00"/>
    <x v="1"/>
    <x v="4"/>
    <x v="1"/>
    <x v="0"/>
    <x v="3"/>
    <x v="7"/>
    <x v="11"/>
    <x v="1"/>
  </r>
  <r>
    <s v="TX502121"/>
    <x v="5"/>
    <x v="9"/>
    <x v="532"/>
    <n v="168.5"/>
    <d v="2025-03-19T00:00:00"/>
    <d v="2025-03-20T00:00:00"/>
    <x v="2"/>
    <x v="0"/>
    <x v="0"/>
    <x v="0"/>
    <x v="3"/>
    <x v="3"/>
    <x v="11"/>
    <x v="2"/>
  </r>
  <r>
    <s v="TX502122"/>
    <x v="2"/>
    <x v="2"/>
    <x v="892"/>
    <n v="322.20000000000005"/>
    <d v="2025-03-19T00:00:00"/>
    <d v="2025-04-01T00:00:00"/>
    <x v="2"/>
    <x v="1"/>
    <x v="2"/>
    <x v="0"/>
    <x v="3"/>
    <x v="10"/>
    <x v="11"/>
    <x v="2"/>
  </r>
  <r>
    <s v="TX502123"/>
    <x v="4"/>
    <x v="12"/>
    <x v="597"/>
    <n v="88.8"/>
    <d v="2025-03-19T00:00:00"/>
    <d v="2025-03-20T00:00:00"/>
    <x v="0"/>
    <x v="1"/>
    <x v="2"/>
    <x v="0"/>
    <x v="24"/>
    <x v="3"/>
    <x v="11"/>
    <x v="0"/>
  </r>
  <r>
    <s v="TX502124"/>
    <x v="18"/>
    <x v="2"/>
    <x v="434"/>
    <n v="158.39999999999998"/>
    <d v="2025-03-19T00:00:00"/>
    <d v="2025-03-20T00:00:00"/>
    <x v="1"/>
    <x v="3"/>
    <x v="2"/>
    <x v="0"/>
    <x v="24"/>
    <x v="3"/>
    <x v="11"/>
    <x v="1"/>
  </r>
  <r>
    <s v="TX502125"/>
    <x v="8"/>
    <x v="2"/>
    <x v="329"/>
    <n v="124.5"/>
    <d v="2025-03-19T00:00:00"/>
    <d v="2025-03-22T00:00:00"/>
    <x v="2"/>
    <x v="0"/>
    <x v="0"/>
    <x v="0"/>
    <x v="25"/>
    <x v="2"/>
    <x v="11"/>
    <x v="2"/>
  </r>
  <r>
    <s v="TX502126"/>
    <x v="12"/>
    <x v="8"/>
    <x v="386"/>
    <n v="828"/>
    <d v="2025-03-19T00:00:00"/>
    <d v="2025-03-22T00:00:00"/>
    <x v="2"/>
    <x v="0"/>
    <x v="2"/>
    <x v="0"/>
    <x v="23"/>
    <x v="2"/>
    <x v="11"/>
    <x v="2"/>
  </r>
  <r>
    <s v="TX502127"/>
    <x v="4"/>
    <x v="21"/>
    <x v="151"/>
    <n v="525"/>
    <d v="2025-03-19T00:00:00"/>
    <d v="2025-03-19T00:00:00"/>
    <x v="2"/>
    <x v="1"/>
    <x v="2"/>
    <x v="0"/>
    <x v="6"/>
    <x v="7"/>
    <x v="11"/>
    <x v="2"/>
  </r>
  <r>
    <s v="TX502128"/>
    <x v="15"/>
    <x v="8"/>
    <x v="73"/>
    <n v="355.2"/>
    <d v="2025-03-19T00:00:00"/>
    <d v="2025-03-25T00:00:00"/>
    <x v="2"/>
    <x v="3"/>
    <x v="2"/>
    <x v="0"/>
    <x v="7"/>
    <x v="4"/>
    <x v="11"/>
    <x v="2"/>
  </r>
  <r>
    <s v="TX502129"/>
    <x v="8"/>
    <x v="2"/>
    <x v="457"/>
    <n v="78.599999999999994"/>
    <d v="2025-03-19T00:00:00"/>
    <d v="2025-03-20T00:00:00"/>
    <x v="1"/>
    <x v="0"/>
    <x v="0"/>
    <x v="0"/>
    <x v="8"/>
    <x v="3"/>
    <x v="11"/>
    <x v="1"/>
  </r>
  <r>
    <s v="TX502130"/>
    <x v="1"/>
    <x v="3"/>
    <x v="380"/>
    <n v="225.40000000000003"/>
    <d v="2025-03-19T00:00:00"/>
    <d v="2025-03-20T00:00:00"/>
    <x v="2"/>
    <x v="1"/>
    <x v="2"/>
    <x v="0"/>
    <x v="8"/>
    <x v="3"/>
    <x v="11"/>
    <x v="2"/>
  </r>
  <r>
    <s v="TX502131"/>
    <x v="8"/>
    <x v="0"/>
    <x v="893"/>
    <n v="17.399999999999999"/>
    <d v="2025-03-19T00:00:00"/>
    <d v="2025-03-23T00:00:00"/>
    <x v="0"/>
    <x v="2"/>
    <x v="1"/>
    <x v="0"/>
    <x v="8"/>
    <x v="5"/>
    <x v="11"/>
    <x v="0"/>
  </r>
  <r>
    <s v="TX502132"/>
    <x v="8"/>
    <x v="13"/>
    <x v="583"/>
    <n v="433.79999999999995"/>
    <d v="2025-03-19T00:00:00"/>
    <d v="2025-03-22T00:00:00"/>
    <x v="2"/>
    <x v="0"/>
    <x v="0"/>
    <x v="0"/>
    <x v="8"/>
    <x v="2"/>
    <x v="11"/>
    <x v="2"/>
  </r>
  <r>
    <s v="TX502133"/>
    <x v="8"/>
    <x v="5"/>
    <x v="51"/>
    <n v="267.3"/>
    <d v="2025-03-19T00:00:00"/>
    <d v="2025-03-20T00:00:00"/>
    <x v="1"/>
    <x v="0"/>
    <x v="0"/>
    <x v="0"/>
    <x v="8"/>
    <x v="3"/>
    <x v="11"/>
    <x v="1"/>
  </r>
  <r>
    <s v="TX502134"/>
    <x v="13"/>
    <x v="2"/>
    <x v="182"/>
    <n v="147.30000000000001"/>
    <d v="2025-03-19T00:00:00"/>
    <d v="2025-03-25T00:00:00"/>
    <x v="1"/>
    <x v="2"/>
    <x v="4"/>
    <x v="0"/>
    <x v="8"/>
    <x v="4"/>
    <x v="11"/>
    <x v="1"/>
  </r>
  <r>
    <s v="TX502135"/>
    <x v="2"/>
    <x v="7"/>
    <x v="894"/>
    <n v="2347"/>
    <d v="2025-03-19T00:00:00"/>
    <d v="2025-03-20T00:00:00"/>
    <x v="1"/>
    <x v="3"/>
    <x v="1"/>
    <x v="0"/>
    <x v="8"/>
    <x v="3"/>
    <x v="11"/>
    <x v="1"/>
  </r>
  <r>
    <s v="TX502136"/>
    <x v="3"/>
    <x v="9"/>
    <x v="164"/>
    <n v="380.5"/>
    <d v="2025-03-19T00:00:00"/>
    <d v="2025-03-21T00:00:00"/>
    <x v="1"/>
    <x v="1"/>
    <x v="1"/>
    <x v="0"/>
    <x v="17"/>
    <x v="1"/>
    <x v="11"/>
    <x v="1"/>
  </r>
  <r>
    <s v="TX502137"/>
    <x v="1"/>
    <x v="2"/>
    <x v="895"/>
    <n v="281.70000000000005"/>
    <d v="2025-03-19T00:00:00"/>
    <d v="2025-03-20T00:00:00"/>
    <x v="1"/>
    <x v="1"/>
    <x v="4"/>
    <x v="0"/>
    <x v="11"/>
    <x v="3"/>
    <x v="11"/>
    <x v="1"/>
  </r>
  <r>
    <s v="TX502138"/>
    <x v="2"/>
    <x v="12"/>
    <x v="896"/>
    <n v="748"/>
    <d v="2025-03-20T00:00:00"/>
    <d v="2025-03-23T00:00:00"/>
    <x v="1"/>
    <x v="0"/>
    <x v="0"/>
    <x v="0"/>
    <x v="11"/>
    <x v="2"/>
    <x v="11"/>
    <x v="1"/>
  </r>
  <r>
    <s v="TX502139"/>
    <x v="8"/>
    <x v="1"/>
    <x v="53"/>
    <n v="36"/>
    <d v="2025-03-20T00:00:00"/>
    <d v="2025-03-21T00:00:00"/>
    <x v="2"/>
    <x v="1"/>
    <x v="2"/>
    <x v="0"/>
    <x v="53"/>
    <x v="3"/>
    <x v="11"/>
    <x v="2"/>
  </r>
  <r>
    <s v="TX502140"/>
    <x v="4"/>
    <x v="0"/>
    <x v="278"/>
    <n v="24.4"/>
    <d v="2025-03-20T00:00:00"/>
    <d v="2025-03-21T00:00:00"/>
    <x v="2"/>
    <x v="4"/>
    <x v="2"/>
    <x v="0"/>
    <x v="21"/>
    <x v="3"/>
    <x v="11"/>
    <x v="2"/>
  </r>
  <r>
    <s v="TX502141"/>
    <x v="10"/>
    <x v="1"/>
    <x v="665"/>
    <n v="77.599999999999994"/>
    <d v="2025-03-20T00:00:00"/>
    <d v="2025-03-21T00:00:00"/>
    <x v="1"/>
    <x v="4"/>
    <x v="1"/>
    <x v="0"/>
    <x v="3"/>
    <x v="3"/>
    <x v="11"/>
    <x v="1"/>
  </r>
  <r>
    <s v="TX502142"/>
    <x v="3"/>
    <x v="0"/>
    <x v="115"/>
    <n v="59.7"/>
    <d v="2025-03-20T00:00:00"/>
    <d v="2025-03-23T00:00:00"/>
    <x v="1"/>
    <x v="3"/>
    <x v="0"/>
    <x v="0"/>
    <x v="3"/>
    <x v="2"/>
    <x v="11"/>
    <x v="1"/>
  </r>
  <r>
    <s v="TX502143"/>
    <x v="7"/>
    <x v="0"/>
    <x v="63"/>
    <n v="31.2"/>
    <d v="2025-03-20T00:00:00"/>
    <d v="2025-03-21T00:00:00"/>
    <x v="1"/>
    <x v="1"/>
    <x v="2"/>
    <x v="0"/>
    <x v="3"/>
    <x v="3"/>
    <x v="11"/>
    <x v="1"/>
  </r>
  <r>
    <s v="TX502144"/>
    <x v="0"/>
    <x v="0"/>
    <x v="384"/>
    <n v="16.8"/>
    <d v="2025-03-20T00:00:00"/>
    <d v="2025-03-21T00:00:00"/>
    <x v="2"/>
    <x v="2"/>
    <x v="1"/>
    <x v="0"/>
    <x v="3"/>
    <x v="3"/>
    <x v="11"/>
    <x v="2"/>
  </r>
  <r>
    <s v="TX502145"/>
    <x v="8"/>
    <x v="0"/>
    <x v="544"/>
    <n v="46"/>
    <d v="2025-03-20T00:00:00"/>
    <d v="2025-03-21T00:00:00"/>
    <x v="1"/>
    <x v="0"/>
    <x v="0"/>
    <x v="0"/>
    <x v="3"/>
    <x v="3"/>
    <x v="11"/>
    <x v="1"/>
  </r>
  <r>
    <s v="TX502146"/>
    <x v="9"/>
    <x v="8"/>
    <x v="567"/>
    <n v="337.6"/>
    <d v="2025-03-20T00:00:00"/>
    <d v="2025-03-23T00:00:00"/>
    <x v="2"/>
    <x v="3"/>
    <x v="2"/>
    <x v="0"/>
    <x v="3"/>
    <x v="2"/>
    <x v="11"/>
    <x v="2"/>
  </r>
  <r>
    <s v="TX502147"/>
    <x v="1"/>
    <x v="2"/>
    <x v="674"/>
    <n v="214.5"/>
    <d v="2025-03-20T00:00:00"/>
    <d v="2025-04-03T00:00:00"/>
    <x v="2"/>
    <x v="0"/>
    <x v="0"/>
    <x v="0"/>
    <x v="3"/>
    <x v="12"/>
    <x v="11"/>
    <x v="2"/>
  </r>
  <r>
    <s v="TX502148"/>
    <x v="1"/>
    <x v="1"/>
    <x v="897"/>
    <n v="153.19999999999999"/>
    <d v="2025-03-20T00:00:00"/>
    <d v="2025-03-20T00:00:00"/>
    <x v="1"/>
    <x v="0"/>
    <x v="2"/>
    <x v="0"/>
    <x v="3"/>
    <x v="7"/>
    <x v="11"/>
    <x v="1"/>
  </r>
  <r>
    <s v="TX502149"/>
    <x v="12"/>
    <x v="1"/>
    <x v="317"/>
    <n v="174.6"/>
    <d v="2025-03-20T00:00:00"/>
    <d v="2025-03-28T00:00:00"/>
    <x v="2"/>
    <x v="3"/>
    <x v="2"/>
    <x v="0"/>
    <x v="3"/>
    <x v="9"/>
    <x v="11"/>
    <x v="2"/>
  </r>
  <r>
    <s v="TX502150"/>
    <x v="1"/>
    <x v="0"/>
    <x v="94"/>
    <n v="63"/>
    <d v="2025-03-20T00:00:00"/>
    <d v="2025-03-23T00:00:00"/>
    <x v="1"/>
    <x v="3"/>
    <x v="0"/>
    <x v="0"/>
    <x v="3"/>
    <x v="2"/>
    <x v="11"/>
    <x v="1"/>
  </r>
  <r>
    <s v="TX502151"/>
    <x v="8"/>
    <x v="1"/>
    <x v="52"/>
    <n v="83.4"/>
    <d v="2025-03-20T00:00:00"/>
    <d v="2025-03-21T00:00:00"/>
    <x v="2"/>
    <x v="4"/>
    <x v="1"/>
    <x v="0"/>
    <x v="43"/>
    <x v="3"/>
    <x v="11"/>
    <x v="2"/>
  </r>
  <r>
    <s v="TX502152"/>
    <x v="6"/>
    <x v="1"/>
    <x v="164"/>
    <n v="152.19999999999999"/>
    <d v="2025-03-20T00:00:00"/>
    <d v="2025-03-20T00:00:00"/>
    <x v="2"/>
    <x v="4"/>
    <x v="2"/>
    <x v="0"/>
    <x v="16"/>
    <x v="7"/>
    <x v="11"/>
    <x v="2"/>
  </r>
  <r>
    <s v="TX502153"/>
    <x v="13"/>
    <x v="1"/>
    <x v="365"/>
    <n v="57"/>
    <d v="2025-03-20T00:00:00"/>
    <d v="2025-03-21T00:00:00"/>
    <x v="2"/>
    <x v="0"/>
    <x v="2"/>
    <x v="0"/>
    <x v="4"/>
    <x v="3"/>
    <x v="11"/>
    <x v="2"/>
  </r>
  <r>
    <s v="TX502154"/>
    <x v="0"/>
    <x v="12"/>
    <x v="201"/>
    <n v="128.4"/>
    <d v="2025-03-20T00:00:00"/>
    <d v="2025-03-21T00:00:00"/>
    <x v="2"/>
    <x v="1"/>
    <x v="2"/>
    <x v="0"/>
    <x v="25"/>
    <x v="3"/>
    <x v="11"/>
    <x v="2"/>
  </r>
  <r>
    <s v="TX502155"/>
    <x v="4"/>
    <x v="2"/>
    <x v="37"/>
    <n v="117"/>
    <d v="2025-03-20T00:00:00"/>
    <d v="2025-03-23T00:00:00"/>
    <x v="1"/>
    <x v="1"/>
    <x v="2"/>
    <x v="0"/>
    <x v="25"/>
    <x v="2"/>
    <x v="11"/>
    <x v="1"/>
  </r>
  <r>
    <s v="TX502156"/>
    <x v="6"/>
    <x v="0"/>
    <x v="898"/>
    <n v="78.5"/>
    <d v="2025-03-20T00:00:00"/>
    <d v="2025-03-21T00:00:00"/>
    <x v="1"/>
    <x v="1"/>
    <x v="0"/>
    <x v="0"/>
    <x v="6"/>
    <x v="3"/>
    <x v="11"/>
    <x v="1"/>
  </r>
  <r>
    <s v="TX502157"/>
    <x v="4"/>
    <x v="9"/>
    <x v="235"/>
    <n v="248.5"/>
    <d v="2025-03-20T00:00:00"/>
    <d v="2025-03-22T00:00:00"/>
    <x v="2"/>
    <x v="0"/>
    <x v="0"/>
    <x v="0"/>
    <x v="6"/>
    <x v="1"/>
    <x v="11"/>
    <x v="2"/>
  </r>
  <r>
    <s v="TX502158"/>
    <x v="1"/>
    <x v="12"/>
    <x v="657"/>
    <n v="273.60000000000002"/>
    <d v="2025-03-20T00:00:00"/>
    <d v="2025-03-21T00:00:00"/>
    <x v="2"/>
    <x v="2"/>
    <x v="2"/>
    <x v="0"/>
    <x v="7"/>
    <x v="3"/>
    <x v="11"/>
    <x v="2"/>
  </r>
  <r>
    <s v="TX502159"/>
    <x v="3"/>
    <x v="1"/>
    <x v="899"/>
    <n v="145.80000000000001"/>
    <d v="2025-03-20T00:00:00"/>
    <d v="2025-03-23T00:00:00"/>
    <x v="0"/>
    <x v="0"/>
    <x v="2"/>
    <x v="0"/>
    <x v="7"/>
    <x v="2"/>
    <x v="11"/>
    <x v="0"/>
  </r>
  <r>
    <s v="TX502160"/>
    <x v="5"/>
    <x v="15"/>
    <x v="165"/>
    <n v="393.90000000000003"/>
    <d v="2025-03-20T00:00:00"/>
    <d v="2025-03-21T00:00:00"/>
    <x v="1"/>
    <x v="4"/>
    <x v="0"/>
    <x v="0"/>
    <x v="7"/>
    <x v="3"/>
    <x v="11"/>
    <x v="1"/>
  </r>
  <r>
    <s v="TX502161"/>
    <x v="6"/>
    <x v="5"/>
    <x v="787"/>
    <n v="636.9"/>
    <d v="2025-03-20T00:00:00"/>
    <d v="2025-03-21T00:00:00"/>
    <x v="2"/>
    <x v="0"/>
    <x v="0"/>
    <x v="0"/>
    <x v="8"/>
    <x v="3"/>
    <x v="11"/>
    <x v="2"/>
  </r>
  <r>
    <s v="TX502162"/>
    <x v="1"/>
    <x v="0"/>
    <x v="900"/>
    <n v="96.7"/>
    <d v="2025-03-20T00:00:00"/>
    <d v="2025-03-21T00:00:00"/>
    <x v="1"/>
    <x v="0"/>
    <x v="0"/>
    <x v="0"/>
    <x v="8"/>
    <x v="3"/>
    <x v="11"/>
    <x v="1"/>
  </r>
  <r>
    <s v="TX502163"/>
    <x v="8"/>
    <x v="4"/>
    <x v="843"/>
    <n v="331.20000000000005"/>
    <d v="2025-03-20T00:00:00"/>
    <d v="2025-03-22T00:00:00"/>
    <x v="1"/>
    <x v="2"/>
    <x v="2"/>
    <x v="0"/>
    <x v="8"/>
    <x v="1"/>
    <x v="11"/>
    <x v="1"/>
  </r>
  <r>
    <s v="TX502164"/>
    <x v="6"/>
    <x v="12"/>
    <x v="337"/>
    <n v="258.8"/>
    <d v="2025-03-20T00:00:00"/>
    <d v="2025-03-20T00:00:00"/>
    <x v="1"/>
    <x v="3"/>
    <x v="2"/>
    <x v="0"/>
    <x v="8"/>
    <x v="7"/>
    <x v="11"/>
    <x v="1"/>
  </r>
  <r>
    <s v="TX502165"/>
    <x v="10"/>
    <x v="13"/>
    <x v="162"/>
    <n v="183"/>
    <d v="2025-03-20T00:00:00"/>
    <d v="2025-03-21T00:00:00"/>
    <x v="1"/>
    <x v="4"/>
    <x v="0"/>
    <x v="0"/>
    <x v="8"/>
    <x v="3"/>
    <x v="11"/>
    <x v="1"/>
  </r>
  <r>
    <s v="TX502166"/>
    <x v="6"/>
    <x v="47"/>
    <x v="901"/>
    <n v="7420"/>
    <d v="2025-03-21T00:00:00"/>
    <d v="2025-03-23T00:00:00"/>
    <x v="1"/>
    <x v="4"/>
    <x v="2"/>
    <x v="0"/>
    <x v="8"/>
    <x v="1"/>
    <x v="11"/>
    <x v="1"/>
  </r>
  <r>
    <s v="TX502167"/>
    <x v="12"/>
    <x v="9"/>
    <x v="828"/>
    <n v="384"/>
    <d v="2025-03-21T00:00:00"/>
    <d v="2025-03-27T00:00:00"/>
    <x v="0"/>
    <x v="1"/>
    <x v="1"/>
    <x v="0"/>
    <x v="18"/>
    <x v="4"/>
    <x v="11"/>
    <x v="0"/>
  </r>
  <r>
    <s v="TX502168"/>
    <x v="6"/>
    <x v="1"/>
    <x v="902"/>
    <n v="160.80000000000001"/>
    <d v="2025-03-21T00:00:00"/>
    <d v="2025-03-22T00:00:00"/>
    <x v="2"/>
    <x v="2"/>
    <x v="0"/>
    <x v="0"/>
    <x v="13"/>
    <x v="3"/>
    <x v="11"/>
    <x v="2"/>
  </r>
  <r>
    <s v="TX502169"/>
    <x v="6"/>
    <x v="12"/>
    <x v="276"/>
    <n v="276.39999999999998"/>
    <d v="2025-03-21T00:00:00"/>
    <d v="2025-03-22T00:00:00"/>
    <x v="1"/>
    <x v="1"/>
    <x v="2"/>
    <x v="0"/>
    <x v="21"/>
    <x v="3"/>
    <x v="11"/>
    <x v="1"/>
  </r>
  <r>
    <s v="TX502170"/>
    <x v="18"/>
    <x v="1"/>
    <x v="903"/>
    <n v="152.80000000000001"/>
    <d v="2025-03-21T00:00:00"/>
    <d v="2025-03-21T00:00:00"/>
    <x v="1"/>
    <x v="3"/>
    <x v="0"/>
    <x v="0"/>
    <x v="21"/>
    <x v="7"/>
    <x v="11"/>
    <x v="1"/>
  </r>
  <r>
    <s v="TX502171"/>
    <x v="2"/>
    <x v="1"/>
    <x v="148"/>
    <n v="122.6"/>
    <d v="2025-03-21T00:00:00"/>
    <d v="2025-03-22T00:00:00"/>
    <x v="2"/>
    <x v="1"/>
    <x v="1"/>
    <x v="0"/>
    <x v="21"/>
    <x v="3"/>
    <x v="11"/>
    <x v="2"/>
  </r>
  <r>
    <s v="TX502172"/>
    <x v="7"/>
    <x v="0"/>
    <x v="491"/>
    <n v="58"/>
    <d v="2025-03-21T00:00:00"/>
    <d v="2025-03-22T00:00:00"/>
    <x v="1"/>
    <x v="3"/>
    <x v="1"/>
    <x v="0"/>
    <x v="1"/>
    <x v="3"/>
    <x v="11"/>
    <x v="1"/>
  </r>
  <r>
    <s v="TX502173"/>
    <x v="2"/>
    <x v="8"/>
    <x v="904"/>
    <n v="818.4"/>
    <d v="2025-03-21T00:00:00"/>
    <d v="2025-03-23T00:00:00"/>
    <x v="1"/>
    <x v="2"/>
    <x v="0"/>
    <x v="0"/>
    <x v="42"/>
    <x v="1"/>
    <x v="11"/>
    <x v="1"/>
  </r>
  <r>
    <s v="TX502174"/>
    <x v="19"/>
    <x v="1"/>
    <x v="905"/>
    <n v="27.6"/>
    <d v="2025-03-21T00:00:00"/>
    <d v="2025-03-22T00:00:00"/>
    <x v="2"/>
    <x v="4"/>
    <x v="2"/>
    <x v="0"/>
    <x v="2"/>
    <x v="3"/>
    <x v="11"/>
    <x v="2"/>
  </r>
  <r>
    <s v="TX502175"/>
    <x v="8"/>
    <x v="2"/>
    <x v="57"/>
    <n v="99.899999999999991"/>
    <d v="2025-03-21T00:00:00"/>
    <d v="2025-03-24T00:00:00"/>
    <x v="2"/>
    <x v="2"/>
    <x v="0"/>
    <x v="0"/>
    <x v="22"/>
    <x v="2"/>
    <x v="11"/>
    <x v="2"/>
  </r>
  <r>
    <s v="TX502176"/>
    <x v="10"/>
    <x v="0"/>
    <x v="336"/>
    <n v="27.4"/>
    <d v="2025-03-21T00:00:00"/>
    <d v="2025-03-24T00:00:00"/>
    <x v="1"/>
    <x v="0"/>
    <x v="2"/>
    <x v="0"/>
    <x v="22"/>
    <x v="2"/>
    <x v="11"/>
    <x v="1"/>
  </r>
  <r>
    <s v="TX502177"/>
    <x v="14"/>
    <x v="1"/>
    <x v="170"/>
    <n v="51.2"/>
    <d v="2025-03-21T00:00:00"/>
    <d v="2025-03-22T00:00:00"/>
    <x v="2"/>
    <x v="1"/>
    <x v="1"/>
    <x v="0"/>
    <x v="3"/>
    <x v="3"/>
    <x v="11"/>
    <x v="2"/>
  </r>
  <r>
    <s v="TX502178"/>
    <x v="13"/>
    <x v="0"/>
    <x v="277"/>
    <n v="58.4"/>
    <d v="2025-03-21T00:00:00"/>
    <d v="2025-03-22T00:00:00"/>
    <x v="2"/>
    <x v="2"/>
    <x v="2"/>
    <x v="0"/>
    <x v="3"/>
    <x v="3"/>
    <x v="11"/>
    <x v="2"/>
  </r>
  <r>
    <s v="TX502179"/>
    <x v="11"/>
    <x v="17"/>
    <x v="49"/>
    <n v="810"/>
    <d v="2025-03-21T00:00:00"/>
    <d v="2025-03-22T00:00:00"/>
    <x v="2"/>
    <x v="4"/>
    <x v="0"/>
    <x v="0"/>
    <x v="3"/>
    <x v="3"/>
    <x v="11"/>
    <x v="2"/>
  </r>
  <r>
    <s v="TX502180"/>
    <x v="0"/>
    <x v="12"/>
    <x v="270"/>
    <n v="56.8"/>
    <d v="2025-03-21T00:00:00"/>
    <d v="2025-03-22T00:00:00"/>
    <x v="1"/>
    <x v="0"/>
    <x v="2"/>
    <x v="0"/>
    <x v="3"/>
    <x v="3"/>
    <x v="11"/>
    <x v="1"/>
  </r>
  <r>
    <s v="TX502181"/>
    <x v="7"/>
    <x v="1"/>
    <x v="666"/>
    <n v="136"/>
    <d v="2025-03-21T00:00:00"/>
    <d v="2025-03-31T00:00:00"/>
    <x v="1"/>
    <x v="2"/>
    <x v="1"/>
    <x v="0"/>
    <x v="3"/>
    <x v="14"/>
    <x v="11"/>
    <x v="1"/>
  </r>
  <r>
    <s v="TX502182"/>
    <x v="8"/>
    <x v="0"/>
    <x v="630"/>
    <n v="30.7"/>
    <d v="2025-03-21T00:00:00"/>
    <d v="2025-03-22T00:00:00"/>
    <x v="1"/>
    <x v="0"/>
    <x v="0"/>
    <x v="0"/>
    <x v="3"/>
    <x v="3"/>
    <x v="11"/>
    <x v="1"/>
  </r>
  <r>
    <s v="TX502183"/>
    <x v="17"/>
    <x v="15"/>
    <x v="728"/>
    <n v="670.80000000000007"/>
    <d v="2025-03-21T00:00:00"/>
    <d v="2025-03-24T00:00:00"/>
    <x v="3"/>
    <x v="1"/>
    <x v="2"/>
    <x v="0"/>
    <x v="3"/>
    <x v="2"/>
    <x v="11"/>
    <x v="3"/>
  </r>
  <r>
    <s v="TX502184"/>
    <x v="8"/>
    <x v="2"/>
    <x v="468"/>
    <n v="61.800000000000004"/>
    <d v="2025-03-21T00:00:00"/>
    <d v="2025-03-25T00:00:00"/>
    <x v="2"/>
    <x v="4"/>
    <x v="2"/>
    <x v="0"/>
    <x v="3"/>
    <x v="5"/>
    <x v="11"/>
    <x v="2"/>
  </r>
  <r>
    <s v="TX502185"/>
    <x v="8"/>
    <x v="0"/>
    <x v="486"/>
    <n v="24.8"/>
    <d v="2025-03-21T00:00:00"/>
    <d v="2025-03-22T00:00:00"/>
    <x v="1"/>
    <x v="4"/>
    <x v="0"/>
    <x v="0"/>
    <x v="3"/>
    <x v="3"/>
    <x v="11"/>
    <x v="1"/>
  </r>
  <r>
    <s v="TX502186"/>
    <x v="0"/>
    <x v="3"/>
    <x v="408"/>
    <n v="78.399999999999991"/>
    <d v="2025-03-21T00:00:00"/>
    <d v="2025-03-24T00:00:00"/>
    <x v="1"/>
    <x v="1"/>
    <x v="0"/>
    <x v="0"/>
    <x v="3"/>
    <x v="2"/>
    <x v="11"/>
    <x v="1"/>
  </r>
  <r>
    <s v="TX502187"/>
    <x v="11"/>
    <x v="1"/>
    <x v="440"/>
    <n v="102.4"/>
    <d v="2025-03-21T00:00:00"/>
    <d v="2025-03-22T00:00:00"/>
    <x v="2"/>
    <x v="1"/>
    <x v="2"/>
    <x v="0"/>
    <x v="3"/>
    <x v="3"/>
    <x v="11"/>
    <x v="2"/>
  </r>
  <r>
    <s v="TX502188"/>
    <x v="7"/>
    <x v="13"/>
    <x v="411"/>
    <n v="543"/>
    <d v="2025-03-21T00:00:00"/>
    <d v="2025-03-22T00:00:00"/>
    <x v="2"/>
    <x v="1"/>
    <x v="4"/>
    <x v="0"/>
    <x v="3"/>
    <x v="3"/>
    <x v="11"/>
    <x v="2"/>
  </r>
  <r>
    <s v="TX502189"/>
    <x v="1"/>
    <x v="1"/>
    <x v="394"/>
    <n v="84.8"/>
    <d v="2025-03-21T00:00:00"/>
    <d v="2025-03-22T00:00:00"/>
    <x v="1"/>
    <x v="1"/>
    <x v="2"/>
    <x v="0"/>
    <x v="4"/>
    <x v="3"/>
    <x v="11"/>
    <x v="1"/>
  </r>
  <r>
    <s v="TX502190"/>
    <x v="1"/>
    <x v="1"/>
    <x v="751"/>
    <n v="76.400000000000006"/>
    <d v="2025-03-21T00:00:00"/>
    <d v="2025-03-22T00:00:00"/>
    <x v="1"/>
    <x v="0"/>
    <x v="0"/>
    <x v="0"/>
    <x v="5"/>
    <x v="3"/>
    <x v="11"/>
    <x v="1"/>
  </r>
  <r>
    <s v="TX502191"/>
    <x v="2"/>
    <x v="11"/>
    <x v="906"/>
    <n v="1091.7"/>
    <d v="2025-03-21T00:00:00"/>
    <d v="2025-03-26T00:00:00"/>
    <x v="1"/>
    <x v="0"/>
    <x v="0"/>
    <x v="0"/>
    <x v="6"/>
    <x v="0"/>
    <x v="11"/>
    <x v="1"/>
  </r>
  <r>
    <s v="TX502192"/>
    <x v="6"/>
    <x v="1"/>
    <x v="528"/>
    <n v="93.8"/>
    <d v="2025-03-21T00:00:00"/>
    <d v="2025-03-28T00:00:00"/>
    <x v="1"/>
    <x v="0"/>
    <x v="0"/>
    <x v="0"/>
    <x v="8"/>
    <x v="6"/>
    <x v="11"/>
    <x v="1"/>
  </r>
  <r>
    <s v="TX502193"/>
    <x v="10"/>
    <x v="0"/>
    <x v="6"/>
    <n v="55.3"/>
    <d v="2025-03-21T00:00:00"/>
    <d v="2025-03-23T00:00:00"/>
    <x v="1"/>
    <x v="0"/>
    <x v="0"/>
    <x v="0"/>
    <x v="8"/>
    <x v="1"/>
    <x v="11"/>
    <x v="1"/>
  </r>
  <r>
    <s v="TX502194"/>
    <x v="2"/>
    <x v="2"/>
    <x v="431"/>
    <n v="211.79999999999998"/>
    <d v="2025-03-22T00:00:00"/>
    <d v="2025-03-22T00:00:00"/>
    <x v="2"/>
    <x v="0"/>
    <x v="1"/>
    <x v="0"/>
    <x v="8"/>
    <x v="7"/>
    <x v="11"/>
    <x v="2"/>
  </r>
  <r>
    <s v="TX502195"/>
    <x v="14"/>
    <x v="12"/>
    <x v="615"/>
    <n v="104.4"/>
    <d v="2025-03-22T00:00:00"/>
    <d v="2025-03-24T00:00:00"/>
    <x v="1"/>
    <x v="0"/>
    <x v="0"/>
    <x v="0"/>
    <x v="8"/>
    <x v="1"/>
    <x v="11"/>
    <x v="1"/>
  </r>
  <r>
    <s v="TX502196"/>
    <x v="9"/>
    <x v="5"/>
    <x v="176"/>
    <n v="379.5"/>
    <d v="2025-03-22T00:00:00"/>
    <d v="2025-03-26T00:00:00"/>
    <x v="1"/>
    <x v="2"/>
    <x v="0"/>
    <x v="0"/>
    <x v="17"/>
    <x v="5"/>
    <x v="11"/>
    <x v="1"/>
  </r>
  <r>
    <s v="TX502197"/>
    <x v="1"/>
    <x v="1"/>
    <x v="58"/>
    <n v="128.4"/>
    <d v="2025-03-22T00:00:00"/>
    <d v="2025-03-23T00:00:00"/>
    <x v="2"/>
    <x v="0"/>
    <x v="1"/>
    <x v="0"/>
    <x v="17"/>
    <x v="3"/>
    <x v="11"/>
    <x v="2"/>
  </r>
  <r>
    <s v="TX502198"/>
    <x v="2"/>
    <x v="12"/>
    <x v="907"/>
    <n v="582.79999999999995"/>
    <d v="2025-03-22T00:00:00"/>
    <d v="2025-03-23T00:00:00"/>
    <x v="2"/>
    <x v="0"/>
    <x v="4"/>
    <x v="0"/>
    <x v="17"/>
    <x v="3"/>
    <x v="11"/>
    <x v="2"/>
  </r>
  <r>
    <s v="TX502199"/>
    <x v="12"/>
    <x v="1"/>
    <x v="898"/>
    <n v="157"/>
    <d v="2025-03-22T00:00:00"/>
    <d v="2025-03-23T00:00:00"/>
    <x v="1"/>
    <x v="2"/>
    <x v="0"/>
    <x v="0"/>
    <x v="26"/>
    <x v="3"/>
    <x v="11"/>
    <x v="1"/>
  </r>
  <r>
    <s v="TX502200"/>
    <x v="1"/>
    <x v="0"/>
    <x v="120"/>
    <n v="34.200000000000003"/>
    <d v="2025-03-22T00:00:00"/>
    <d v="2025-03-24T00:00:00"/>
    <x v="1"/>
    <x v="0"/>
    <x v="0"/>
    <x v="0"/>
    <x v="9"/>
    <x v="1"/>
    <x v="11"/>
    <x v="1"/>
  </r>
  <r>
    <s v="TX502201"/>
    <x v="19"/>
    <x v="0"/>
    <x v="457"/>
    <n v="26.2"/>
    <d v="2025-03-22T00:00:00"/>
    <d v="2025-03-23T00:00:00"/>
    <x v="1"/>
    <x v="2"/>
    <x v="0"/>
    <x v="0"/>
    <x v="9"/>
    <x v="3"/>
    <x v="11"/>
    <x v="1"/>
  </r>
  <r>
    <s v="TX502202"/>
    <x v="6"/>
    <x v="12"/>
    <x v="459"/>
    <n v="212.8"/>
    <d v="2025-03-22T00:00:00"/>
    <d v="2025-03-23T00:00:00"/>
    <x v="1"/>
    <x v="1"/>
    <x v="1"/>
    <x v="0"/>
    <x v="11"/>
    <x v="3"/>
    <x v="11"/>
    <x v="1"/>
  </r>
  <r>
    <s v="TX502203"/>
    <x v="1"/>
    <x v="0"/>
    <x v="908"/>
    <n v="35.4"/>
    <d v="2025-03-22T00:00:00"/>
    <d v="2025-03-26T00:00:00"/>
    <x v="1"/>
    <x v="1"/>
    <x v="4"/>
    <x v="0"/>
    <x v="18"/>
    <x v="5"/>
    <x v="11"/>
    <x v="1"/>
  </r>
  <r>
    <s v="TX502204"/>
    <x v="14"/>
    <x v="1"/>
    <x v="210"/>
    <n v="42.6"/>
    <d v="2025-03-22T00:00:00"/>
    <d v="2025-03-23T00:00:00"/>
    <x v="1"/>
    <x v="2"/>
    <x v="0"/>
    <x v="0"/>
    <x v="20"/>
    <x v="3"/>
    <x v="11"/>
    <x v="1"/>
  </r>
  <r>
    <s v="TX502205"/>
    <x v="8"/>
    <x v="12"/>
    <x v="619"/>
    <n v="131.6"/>
    <d v="2025-03-22T00:00:00"/>
    <d v="2025-03-25T00:00:00"/>
    <x v="2"/>
    <x v="4"/>
    <x v="2"/>
    <x v="0"/>
    <x v="21"/>
    <x v="2"/>
    <x v="11"/>
    <x v="2"/>
  </r>
  <r>
    <s v="TX502206"/>
    <x v="5"/>
    <x v="20"/>
    <x v="909"/>
    <n v="1282.5"/>
    <d v="2025-03-22T00:00:00"/>
    <d v="2025-03-24T00:00:00"/>
    <x v="2"/>
    <x v="3"/>
    <x v="1"/>
    <x v="0"/>
    <x v="21"/>
    <x v="1"/>
    <x v="11"/>
    <x v="2"/>
  </r>
  <r>
    <s v="TX502207"/>
    <x v="4"/>
    <x v="0"/>
    <x v="48"/>
    <n v="26.8"/>
    <d v="2025-03-22T00:00:00"/>
    <d v="2025-03-23T00:00:00"/>
    <x v="2"/>
    <x v="0"/>
    <x v="1"/>
    <x v="0"/>
    <x v="2"/>
    <x v="3"/>
    <x v="11"/>
    <x v="2"/>
  </r>
  <r>
    <s v="TX502208"/>
    <x v="9"/>
    <x v="18"/>
    <x v="132"/>
    <n v="824.19999999999993"/>
    <d v="2025-03-22T00:00:00"/>
    <d v="2025-03-22T00:00:00"/>
    <x v="2"/>
    <x v="3"/>
    <x v="0"/>
    <x v="0"/>
    <x v="2"/>
    <x v="7"/>
    <x v="11"/>
    <x v="2"/>
  </r>
  <r>
    <s v="TX502209"/>
    <x v="1"/>
    <x v="1"/>
    <x v="158"/>
    <n v="156.6"/>
    <d v="2025-03-22T00:00:00"/>
    <d v="2025-03-24T00:00:00"/>
    <x v="2"/>
    <x v="1"/>
    <x v="1"/>
    <x v="0"/>
    <x v="3"/>
    <x v="1"/>
    <x v="11"/>
    <x v="2"/>
  </r>
  <r>
    <s v="TX502210"/>
    <x v="6"/>
    <x v="0"/>
    <x v="910"/>
    <n v="43.9"/>
    <d v="2025-03-22T00:00:00"/>
    <d v="2025-03-23T00:00:00"/>
    <x v="1"/>
    <x v="0"/>
    <x v="0"/>
    <x v="0"/>
    <x v="3"/>
    <x v="3"/>
    <x v="11"/>
    <x v="1"/>
  </r>
  <r>
    <s v="TX502211"/>
    <x v="18"/>
    <x v="2"/>
    <x v="726"/>
    <n v="252"/>
    <d v="2025-03-22T00:00:00"/>
    <d v="2025-03-24T00:00:00"/>
    <x v="0"/>
    <x v="3"/>
    <x v="2"/>
    <x v="0"/>
    <x v="3"/>
    <x v="1"/>
    <x v="11"/>
    <x v="0"/>
  </r>
  <r>
    <s v="TX502212"/>
    <x v="0"/>
    <x v="2"/>
    <x v="370"/>
    <n v="34.200000000000003"/>
    <d v="2025-03-22T00:00:00"/>
    <d v="2025-03-23T00:00:00"/>
    <x v="1"/>
    <x v="4"/>
    <x v="0"/>
    <x v="0"/>
    <x v="3"/>
    <x v="3"/>
    <x v="11"/>
    <x v="1"/>
  </r>
  <r>
    <s v="TX502213"/>
    <x v="12"/>
    <x v="8"/>
    <x v="356"/>
    <n v="380"/>
    <d v="2025-03-22T00:00:00"/>
    <d v="2025-03-30T00:00:00"/>
    <x v="2"/>
    <x v="0"/>
    <x v="0"/>
    <x v="0"/>
    <x v="3"/>
    <x v="9"/>
    <x v="11"/>
    <x v="2"/>
  </r>
  <r>
    <s v="TX502214"/>
    <x v="9"/>
    <x v="5"/>
    <x v="93"/>
    <n v="555.5"/>
    <d v="2025-03-22T00:00:00"/>
    <d v="2025-03-24T00:00:00"/>
    <x v="1"/>
    <x v="2"/>
    <x v="0"/>
    <x v="0"/>
    <x v="3"/>
    <x v="1"/>
    <x v="11"/>
    <x v="1"/>
  </r>
  <r>
    <s v="TX502215"/>
    <x v="15"/>
    <x v="0"/>
    <x v="791"/>
    <n v="36.299999999999997"/>
    <d v="2025-03-22T00:00:00"/>
    <d v="2025-03-25T00:00:00"/>
    <x v="3"/>
    <x v="0"/>
    <x v="1"/>
    <x v="0"/>
    <x v="8"/>
    <x v="2"/>
    <x v="11"/>
    <x v="3"/>
  </r>
  <r>
    <s v="TX502216"/>
    <x v="8"/>
    <x v="1"/>
    <x v="908"/>
    <n v="70.8"/>
    <d v="2025-03-22T00:00:00"/>
    <d v="2025-03-23T00:00:00"/>
    <x v="2"/>
    <x v="0"/>
    <x v="0"/>
    <x v="0"/>
    <x v="17"/>
    <x v="3"/>
    <x v="11"/>
    <x v="2"/>
  </r>
  <r>
    <s v="TX502217"/>
    <x v="1"/>
    <x v="2"/>
    <x v="206"/>
    <n v="137.69999999999999"/>
    <d v="2025-03-23T00:00:00"/>
    <d v="2025-03-24T00:00:00"/>
    <x v="1"/>
    <x v="3"/>
    <x v="0"/>
    <x v="0"/>
    <x v="9"/>
    <x v="3"/>
    <x v="12"/>
    <x v="1"/>
  </r>
  <r>
    <s v="TX502218"/>
    <x v="6"/>
    <x v="7"/>
    <x v="387"/>
    <n v="412"/>
    <d v="2025-03-23T00:00:00"/>
    <d v="2025-03-27T00:00:00"/>
    <x v="1"/>
    <x v="0"/>
    <x v="0"/>
    <x v="0"/>
    <x v="11"/>
    <x v="5"/>
    <x v="12"/>
    <x v="1"/>
  </r>
  <r>
    <s v="TX502219"/>
    <x v="17"/>
    <x v="1"/>
    <x v="226"/>
    <n v="90.2"/>
    <d v="2025-03-23T00:00:00"/>
    <d v="2025-03-24T00:00:00"/>
    <x v="1"/>
    <x v="1"/>
    <x v="1"/>
    <x v="0"/>
    <x v="21"/>
    <x v="3"/>
    <x v="12"/>
    <x v="1"/>
  </r>
  <r>
    <s v="TX502220"/>
    <x v="6"/>
    <x v="7"/>
    <x v="305"/>
    <n v="636"/>
    <d v="2025-03-23T00:00:00"/>
    <d v="2025-03-23T00:00:00"/>
    <x v="1"/>
    <x v="2"/>
    <x v="0"/>
    <x v="0"/>
    <x v="1"/>
    <x v="7"/>
    <x v="12"/>
    <x v="1"/>
  </r>
  <r>
    <s v="TX502221"/>
    <x v="8"/>
    <x v="0"/>
    <x v="911"/>
    <n v="70.5"/>
    <d v="2025-03-23T00:00:00"/>
    <d v="2025-03-24T00:00:00"/>
    <x v="1"/>
    <x v="0"/>
    <x v="0"/>
    <x v="0"/>
    <x v="3"/>
    <x v="3"/>
    <x v="12"/>
    <x v="1"/>
  </r>
  <r>
    <s v="TX502222"/>
    <x v="6"/>
    <x v="0"/>
    <x v="397"/>
    <n v="41.3"/>
    <d v="2025-03-23T00:00:00"/>
    <d v="2025-03-23T00:00:00"/>
    <x v="1"/>
    <x v="4"/>
    <x v="0"/>
    <x v="0"/>
    <x v="3"/>
    <x v="7"/>
    <x v="12"/>
    <x v="1"/>
  </r>
  <r>
    <s v="TX502223"/>
    <x v="4"/>
    <x v="0"/>
    <x v="341"/>
    <n v="35.299999999999997"/>
    <d v="2025-03-23T00:00:00"/>
    <d v="2025-03-26T00:00:00"/>
    <x v="2"/>
    <x v="4"/>
    <x v="2"/>
    <x v="0"/>
    <x v="3"/>
    <x v="2"/>
    <x v="12"/>
    <x v="2"/>
  </r>
  <r>
    <s v="TX502224"/>
    <x v="8"/>
    <x v="9"/>
    <x v="267"/>
    <n v="173.5"/>
    <d v="2025-03-23T00:00:00"/>
    <d v="2025-03-24T00:00:00"/>
    <x v="2"/>
    <x v="0"/>
    <x v="2"/>
    <x v="0"/>
    <x v="3"/>
    <x v="3"/>
    <x v="12"/>
    <x v="2"/>
  </r>
  <r>
    <s v="TX502225"/>
    <x v="8"/>
    <x v="2"/>
    <x v="615"/>
    <n v="78.300000000000011"/>
    <d v="2025-03-23T00:00:00"/>
    <d v="2025-03-24T00:00:00"/>
    <x v="2"/>
    <x v="0"/>
    <x v="0"/>
    <x v="0"/>
    <x v="3"/>
    <x v="3"/>
    <x v="12"/>
    <x v="2"/>
  </r>
  <r>
    <s v="TX502226"/>
    <x v="9"/>
    <x v="9"/>
    <x v="351"/>
    <n v="113"/>
    <d v="2025-03-23T00:00:00"/>
    <d v="2025-03-23T00:00:00"/>
    <x v="2"/>
    <x v="1"/>
    <x v="2"/>
    <x v="0"/>
    <x v="3"/>
    <x v="7"/>
    <x v="12"/>
    <x v="2"/>
  </r>
  <r>
    <s v="TX502227"/>
    <x v="2"/>
    <x v="1"/>
    <x v="912"/>
    <n v="308.8"/>
    <d v="2025-03-23T00:00:00"/>
    <d v="2025-03-26T00:00:00"/>
    <x v="1"/>
    <x v="1"/>
    <x v="1"/>
    <x v="0"/>
    <x v="3"/>
    <x v="2"/>
    <x v="12"/>
    <x v="1"/>
  </r>
  <r>
    <s v="TX502228"/>
    <x v="8"/>
    <x v="1"/>
    <x v="856"/>
    <n v="36.799999999999997"/>
    <d v="2025-03-23T00:00:00"/>
    <d v="2025-03-24T00:00:00"/>
    <x v="1"/>
    <x v="0"/>
    <x v="0"/>
    <x v="0"/>
    <x v="3"/>
    <x v="3"/>
    <x v="12"/>
    <x v="1"/>
  </r>
  <r>
    <s v="TX502229"/>
    <x v="14"/>
    <x v="0"/>
    <x v="769"/>
    <n v="25"/>
    <d v="2025-03-23T00:00:00"/>
    <d v="2025-03-26T00:00:00"/>
    <x v="2"/>
    <x v="0"/>
    <x v="0"/>
    <x v="0"/>
    <x v="3"/>
    <x v="2"/>
    <x v="12"/>
    <x v="2"/>
  </r>
  <r>
    <s v="TX502230"/>
    <x v="2"/>
    <x v="13"/>
    <x v="339"/>
    <n v="633.59999999999991"/>
    <d v="2025-03-23T00:00:00"/>
    <d v="2025-03-23T00:00:00"/>
    <x v="2"/>
    <x v="0"/>
    <x v="0"/>
    <x v="0"/>
    <x v="3"/>
    <x v="7"/>
    <x v="12"/>
    <x v="2"/>
  </r>
  <r>
    <s v="TX502231"/>
    <x v="18"/>
    <x v="8"/>
    <x v="684"/>
    <n v="476.8"/>
    <d v="2025-03-23T00:00:00"/>
    <d v="2025-03-23T00:00:00"/>
    <x v="2"/>
    <x v="0"/>
    <x v="2"/>
    <x v="0"/>
    <x v="23"/>
    <x v="7"/>
    <x v="12"/>
    <x v="2"/>
  </r>
  <r>
    <s v="TX502232"/>
    <x v="15"/>
    <x v="2"/>
    <x v="913"/>
    <n v="226.20000000000002"/>
    <d v="2025-03-23T00:00:00"/>
    <d v="2025-03-28T00:00:00"/>
    <x v="1"/>
    <x v="0"/>
    <x v="1"/>
    <x v="0"/>
    <x v="7"/>
    <x v="0"/>
    <x v="12"/>
    <x v="1"/>
  </r>
  <r>
    <s v="TX502233"/>
    <x v="7"/>
    <x v="0"/>
    <x v="653"/>
    <n v="104.4"/>
    <d v="2025-03-23T00:00:00"/>
    <d v="2025-03-24T00:00:00"/>
    <x v="2"/>
    <x v="0"/>
    <x v="0"/>
    <x v="0"/>
    <x v="8"/>
    <x v="3"/>
    <x v="12"/>
    <x v="2"/>
  </r>
  <r>
    <s v="TX502234"/>
    <x v="2"/>
    <x v="7"/>
    <x v="914"/>
    <n v="2082"/>
    <d v="2025-03-23T00:00:00"/>
    <d v="2025-03-24T00:00:00"/>
    <x v="1"/>
    <x v="0"/>
    <x v="2"/>
    <x v="0"/>
    <x v="8"/>
    <x v="3"/>
    <x v="12"/>
    <x v="1"/>
  </r>
  <r>
    <s v="TX502235"/>
    <x v="6"/>
    <x v="1"/>
    <x v="303"/>
    <n v="90"/>
    <d v="2025-03-23T00:00:00"/>
    <d v="2025-03-26T00:00:00"/>
    <x v="2"/>
    <x v="0"/>
    <x v="0"/>
    <x v="0"/>
    <x v="10"/>
    <x v="2"/>
    <x v="12"/>
    <x v="2"/>
  </r>
  <r>
    <s v="TX502236"/>
    <x v="15"/>
    <x v="1"/>
    <x v="127"/>
    <n v="40.6"/>
    <d v="2025-03-24T00:00:00"/>
    <d v="2025-03-26T00:00:00"/>
    <x v="0"/>
    <x v="1"/>
    <x v="0"/>
    <x v="0"/>
    <x v="11"/>
    <x v="1"/>
    <x v="12"/>
    <x v="0"/>
  </r>
  <r>
    <s v="TX502237"/>
    <x v="2"/>
    <x v="2"/>
    <x v="482"/>
    <n v="283.20000000000005"/>
    <d v="2025-03-24T00:00:00"/>
    <d v="2025-03-25T00:00:00"/>
    <x v="2"/>
    <x v="0"/>
    <x v="2"/>
    <x v="0"/>
    <x v="11"/>
    <x v="3"/>
    <x v="12"/>
    <x v="2"/>
  </r>
  <r>
    <s v="TX502238"/>
    <x v="9"/>
    <x v="0"/>
    <x v="11"/>
    <n v="49"/>
    <d v="2025-03-24T00:00:00"/>
    <d v="2025-03-26T00:00:00"/>
    <x v="2"/>
    <x v="0"/>
    <x v="2"/>
    <x v="0"/>
    <x v="20"/>
    <x v="1"/>
    <x v="12"/>
    <x v="2"/>
  </r>
  <r>
    <s v="TX502239"/>
    <x v="4"/>
    <x v="1"/>
    <x v="295"/>
    <n v="54.4"/>
    <d v="2025-03-24T00:00:00"/>
    <d v="2025-03-26T00:00:00"/>
    <x v="1"/>
    <x v="0"/>
    <x v="2"/>
    <x v="0"/>
    <x v="1"/>
    <x v="1"/>
    <x v="12"/>
    <x v="1"/>
  </r>
  <r>
    <s v="TX502240"/>
    <x v="2"/>
    <x v="13"/>
    <x v="559"/>
    <n v="435.59999999999997"/>
    <d v="2025-03-24T00:00:00"/>
    <d v="2025-03-25T00:00:00"/>
    <x v="2"/>
    <x v="0"/>
    <x v="2"/>
    <x v="0"/>
    <x v="2"/>
    <x v="3"/>
    <x v="12"/>
    <x v="2"/>
  </r>
  <r>
    <s v="TX502241"/>
    <x v="15"/>
    <x v="12"/>
    <x v="470"/>
    <n v="249.6"/>
    <d v="2025-03-24T00:00:00"/>
    <d v="2025-03-25T00:00:00"/>
    <x v="2"/>
    <x v="0"/>
    <x v="0"/>
    <x v="0"/>
    <x v="3"/>
    <x v="3"/>
    <x v="12"/>
    <x v="2"/>
  </r>
  <r>
    <s v="TX502242"/>
    <x v="8"/>
    <x v="2"/>
    <x v="30"/>
    <n v="57.300000000000004"/>
    <d v="2025-03-24T00:00:00"/>
    <d v="2025-03-26T00:00:00"/>
    <x v="1"/>
    <x v="0"/>
    <x v="1"/>
    <x v="0"/>
    <x v="3"/>
    <x v="1"/>
    <x v="12"/>
    <x v="1"/>
  </r>
  <r>
    <s v="TX502243"/>
    <x v="10"/>
    <x v="0"/>
    <x v="686"/>
    <n v="29.6"/>
    <d v="2025-03-24T00:00:00"/>
    <d v="2025-03-28T00:00:00"/>
    <x v="1"/>
    <x v="0"/>
    <x v="4"/>
    <x v="0"/>
    <x v="3"/>
    <x v="5"/>
    <x v="12"/>
    <x v="1"/>
  </r>
  <r>
    <s v="TX502244"/>
    <x v="8"/>
    <x v="1"/>
    <x v="104"/>
    <n v="37.799999999999997"/>
    <d v="2025-03-24T00:00:00"/>
    <d v="2025-03-26T00:00:00"/>
    <x v="2"/>
    <x v="4"/>
    <x v="2"/>
    <x v="0"/>
    <x v="3"/>
    <x v="1"/>
    <x v="12"/>
    <x v="2"/>
  </r>
  <r>
    <s v="TX502245"/>
    <x v="10"/>
    <x v="9"/>
    <x v="50"/>
    <n v="207"/>
    <d v="2025-03-24T00:00:00"/>
    <d v="2025-03-25T00:00:00"/>
    <x v="1"/>
    <x v="3"/>
    <x v="0"/>
    <x v="0"/>
    <x v="3"/>
    <x v="3"/>
    <x v="12"/>
    <x v="1"/>
  </r>
  <r>
    <s v="TX502246"/>
    <x v="2"/>
    <x v="0"/>
    <x v="915"/>
    <n v="118.4"/>
    <d v="2025-03-24T00:00:00"/>
    <d v="2025-03-25T00:00:00"/>
    <x v="2"/>
    <x v="0"/>
    <x v="2"/>
    <x v="0"/>
    <x v="3"/>
    <x v="3"/>
    <x v="12"/>
    <x v="2"/>
  </r>
  <r>
    <s v="TX502247"/>
    <x v="2"/>
    <x v="1"/>
    <x v="916"/>
    <n v="250.6"/>
    <d v="2025-03-24T00:00:00"/>
    <d v="2025-03-27T00:00:00"/>
    <x v="2"/>
    <x v="0"/>
    <x v="2"/>
    <x v="0"/>
    <x v="3"/>
    <x v="2"/>
    <x v="12"/>
    <x v="2"/>
  </r>
  <r>
    <s v="TX502248"/>
    <x v="3"/>
    <x v="1"/>
    <x v="449"/>
    <n v="171.6"/>
    <d v="2025-03-24T00:00:00"/>
    <d v="2025-03-25T00:00:00"/>
    <x v="2"/>
    <x v="1"/>
    <x v="4"/>
    <x v="0"/>
    <x v="3"/>
    <x v="3"/>
    <x v="12"/>
    <x v="2"/>
  </r>
  <r>
    <s v="TX502249"/>
    <x v="6"/>
    <x v="0"/>
    <x v="236"/>
    <n v="44.2"/>
    <d v="2025-03-24T00:00:00"/>
    <d v="2025-03-27T00:00:00"/>
    <x v="1"/>
    <x v="1"/>
    <x v="0"/>
    <x v="0"/>
    <x v="3"/>
    <x v="2"/>
    <x v="12"/>
    <x v="1"/>
  </r>
  <r>
    <s v="TX502250"/>
    <x v="5"/>
    <x v="12"/>
    <x v="746"/>
    <n v="296.39999999999998"/>
    <d v="2025-03-24T00:00:00"/>
    <d v="2025-03-26T00:00:00"/>
    <x v="2"/>
    <x v="0"/>
    <x v="0"/>
    <x v="0"/>
    <x v="3"/>
    <x v="1"/>
    <x v="12"/>
    <x v="2"/>
  </r>
  <r>
    <s v="TX502251"/>
    <x v="8"/>
    <x v="0"/>
    <x v="601"/>
    <n v="33.799999999999997"/>
    <d v="2025-03-24T00:00:00"/>
    <d v="2025-03-25T00:00:00"/>
    <x v="2"/>
    <x v="2"/>
    <x v="2"/>
    <x v="0"/>
    <x v="24"/>
    <x v="3"/>
    <x v="12"/>
    <x v="2"/>
  </r>
  <r>
    <s v="TX502252"/>
    <x v="1"/>
    <x v="1"/>
    <x v="644"/>
    <n v="78.2"/>
    <d v="2025-03-24T00:00:00"/>
    <d v="2025-03-25T00:00:00"/>
    <x v="1"/>
    <x v="0"/>
    <x v="1"/>
    <x v="0"/>
    <x v="24"/>
    <x v="3"/>
    <x v="12"/>
    <x v="1"/>
  </r>
  <r>
    <s v="TX502253"/>
    <x v="0"/>
    <x v="0"/>
    <x v="790"/>
    <n v="37.200000000000003"/>
    <d v="2025-03-24T00:00:00"/>
    <d v="2025-03-25T00:00:00"/>
    <x v="1"/>
    <x v="0"/>
    <x v="1"/>
    <x v="0"/>
    <x v="16"/>
    <x v="3"/>
    <x v="12"/>
    <x v="1"/>
  </r>
  <r>
    <s v="TX502254"/>
    <x v="15"/>
    <x v="2"/>
    <x v="412"/>
    <n v="101.69999999999999"/>
    <d v="2025-03-24T00:00:00"/>
    <d v="2025-03-26T00:00:00"/>
    <x v="1"/>
    <x v="2"/>
    <x v="0"/>
    <x v="0"/>
    <x v="6"/>
    <x v="1"/>
    <x v="12"/>
    <x v="1"/>
  </r>
  <r>
    <s v="TX502255"/>
    <x v="7"/>
    <x v="20"/>
    <x v="651"/>
    <n v="1099.5"/>
    <d v="2025-03-24T00:00:00"/>
    <d v="2025-03-27T00:00:00"/>
    <x v="2"/>
    <x v="2"/>
    <x v="1"/>
    <x v="0"/>
    <x v="8"/>
    <x v="2"/>
    <x v="12"/>
    <x v="2"/>
  </r>
  <r>
    <s v="TX502256"/>
    <x v="8"/>
    <x v="12"/>
    <x v="775"/>
    <n v="140"/>
    <d v="2025-03-24T00:00:00"/>
    <d v="2025-03-26T00:00:00"/>
    <x v="2"/>
    <x v="1"/>
    <x v="0"/>
    <x v="0"/>
    <x v="8"/>
    <x v="1"/>
    <x v="12"/>
    <x v="2"/>
  </r>
  <r>
    <s v="TX502257"/>
    <x v="0"/>
    <x v="2"/>
    <x v="597"/>
    <n v="66.599999999999994"/>
    <d v="2025-03-24T00:00:00"/>
    <d v="2025-03-25T00:00:00"/>
    <x v="1"/>
    <x v="1"/>
    <x v="0"/>
    <x v="0"/>
    <x v="17"/>
    <x v="3"/>
    <x v="12"/>
    <x v="1"/>
  </r>
  <r>
    <s v="TX502258"/>
    <x v="10"/>
    <x v="0"/>
    <x v="498"/>
    <n v="32.4"/>
    <d v="2025-03-24T00:00:00"/>
    <d v="2025-03-25T00:00:00"/>
    <x v="2"/>
    <x v="0"/>
    <x v="0"/>
    <x v="0"/>
    <x v="11"/>
    <x v="3"/>
    <x v="12"/>
    <x v="2"/>
  </r>
  <r>
    <s v="TX502259"/>
    <x v="5"/>
    <x v="2"/>
    <x v="13"/>
    <n v="265.20000000000005"/>
    <d v="2025-03-25T00:00:00"/>
    <d v="2025-03-27T00:00:00"/>
    <x v="2"/>
    <x v="1"/>
    <x v="1"/>
    <x v="0"/>
    <x v="11"/>
    <x v="1"/>
    <x v="12"/>
    <x v="2"/>
  </r>
  <r>
    <s v="TX502260"/>
    <x v="5"/>
    <x v="27"/>
    <x v="162"/>
    <n v="488"/>
    <d v="2025-03-25T00:00:00"/>
    <d v="2025-03-26T00:00:00"/>
    <x v="2"/>
    <x v="2"/>
    <x v="0"/>
    <x v="0"/>
    <x v="11"/>
    <x v="3"/>
    <x v="12"/>
    <x v="2"/>
  </r>
  <r>
    <s v="TX502261"/>
    <x v="1"/>
    <x v="13"/>
    <x v="202"/>
    <n v="228.60000000000002"/>
    <d v="2025-03-25T00:00:00"/>
    <d v="2025-03-27T00:00:00"/>
    <x v="2"/>
    <x v="0"/>
    <x v="1"/>
    <x v="0"/>
    <x v="11"/>
    <x v="1"/>
    <x v="12"/>
    <x v="2"/>
  </r>
  <r>
    <s v="TX502262"/>
    <x v="10"/>
    <x v="9"/>
    <x v="410"/>
    <n v="188"/>
    <d v="2025-03-25T00:00:00"/>
    <d v="2025-03-29T00:00:00"/>
    <x v="1"/>
    <x v="0"/>
    <x v="0"/>
    <x v="0"/>
    <x v="11"/>
    <x v="5"/>
    <x v="12"/>
    <x v="1"/>
  </r>
  <r>
    <s v="TX502263"/>
    <x v="15"/>
    <x v="1"/>
    <x v="541"/>
    <n v="62.8"/>
    <d v="2025-03-25T00:00:00"/>
    <d v="2025-03-26T00:00:00"/>
    <x v="1"/>
    <x v="0"/>
    <x v="2"/>
    <x v="0"/>
    <x v="11"/>
    <x v="3"/>
    <x v="12"/>
    <x v="1"/>
  </r>
  <r>
    <s v="TX502264"/>
    <x v="6"/>
    <x v="1"/>
    <x v="89"/>
    <n v="123"/>
    <d v="2025-03-25T00:00:00"/>
    <d v="2025-03-26T00:00:00"/>
    <x v="1"/>
    <x v="3"/>
    <x v="0"/>
    <x v="0"/>
    <x v="31"/>
    <x v="3"/>
    <x v="12"/>
    <x v="1"/>
  </r>
  <r>
    <s v="TX502265"/>
    <x v="6"/>
    <x v="0"/>
    <x v="559"/>
    <n v="72.599999999999994"/>
    <d v="2025-03-25T00:00:00"/>
    <d v="2025-03-26T00:00:00"/>
    <x v="1"/>
    <x v="0"/>
    <x v="1"/>
    <x v="0"/>
    <x v="21"/>
    <x v="3"/>
    <x v="12"/>
    <x v="1"/>
  </r>
  <r>
    <s v="TX502266"/>
    <x v="9"/>
    <x v="2"/>
    <x v="436"/>
    <n v="80.699999999999989"/>
    <d v="2025-03-25T00:00:00"/>
    <d v="2025-03-30T00:00:00"/>
    <x v="3"/>
    <x v="4"/>
    <x v="1"/>
    <x v="0"/>
    <x v="46"/>
    <x v="0"/>
    <x v="12"/>
    <x v="3"/>
  </r>
  <r>
    <s v="TX502267"/>
    <x v="17"/>
    <x v="4"/>
    <x v="647"/>
    <n v="352.79999999999995"/>
    <d v="2025-03-25T00:00:00"/>
    <d v="2025-03-26T00:00:00"/>
    <x v="2"/>
    <x v="1"/>
    <x v="0"/>
    <x v="0"/>
    <x v="51"/>
    <x v="3"/>
    <x v="12"/>
    <x v="2"/>
  </r>
  <r>
    <s v="TX502268"/>
    <x v="17"/>
    <x v="1"/>
    <x v="624"/>
    <n v="84.2"/>
    <d v="2025-03-25T00:00:00"/>
    <d v="2025-03-26T00:00:00"/>
    <x v="2"/>
    <x v="3"/>
    <x v="1"/>
    <x v="0"/>
    <x v="1"/>
    <x v="3"/>
    <x v="12"/>
    <x v="2"/>
  </r>
  <r>
    <s v="TX502269"/>
    <x v="5"/>
    <x v="0"/>
    <x v="145"/>
    <n v="40.5"/>
    <d v="2025-03-25T00:00:00"/>
    <d v="2025-03-26T00:00:00"/>
    <x v="2"/>
    <x v="2"/>
    <x v="1"/>
    <x v="0"/>
    <x v="1"/>
    <x v="3"/>
    <x v="12"/>
    <x v="2"/>
  </r>
  <r>
    <s v="TX502270"/>
    <x v="2"/>
    <x v="12"/>
    <x v="917"/>
    <n v="729.2"/>
    <d v="2025-03-25T00:00:00"/>
    <d v="2025-03-26T00:00:00"/>
    <x v="2"/>
    <x v="1"/>
    <x v="0"/>
    <x v="0"/>
    <x v="1"/>
    <x v="3"/>
    <x v="12"/>
    <x v="2"/>
  </r>
  <r>
    <s v="TX502271"/>
    <x v="2"/>
    <x v="9"/>
    <x v="891"/>
    <n v="785"/>
    <d v="2025-03-25T00:00:00"/>
    <d v="2025-03-28T00:00:00"/>
    <x v="2"/>
    <x v="1"/>
    <x v="2"/>
    <x v="0"/>
    <x v="2"/>
    <x v="2"/>
    <x v="12"/>
    <x v="2"/>
  </r>
  <r>
    <s v="TX502272"/>
    <x v="17"/>
    <x v="9"/>
    <x v="291"/>
    <n v="226"/>
    <d v="2025-03-25T00:00:00"/>
    <d v="2025-03-28T00:00:00"/>
    <x v="2"/>
    <x v="1"/>
    <x v="0"/>
    <x v="0"/>
    <x v="22"/>
    <x v="2"/>
    <x v="12"/>
    <x v="2"/>
  </r>
  <r>
    <s v="TX502273"/>
    <x v="15"/>
    <x v="12"/>
    <x v="336"/>
    <n v="109.6"/>
    <d v="2025-03-25T00:00:00"/>
    <d v="2025-03-27T00:00:00"/>
    <x v="2"/>
    <x v="0"/>
    <x v="0"/>
    <x v="0"/>
    <x v="3"/>
    <x v="1"/>
    <x v="12"/>
    <x v="2"/>
  </r>
  <r>
    <s v="TX502274"/>
    <x v="5"/>
    <x v="9"/>
    <x v="268"/>
    <n v="170.5"/>
    <d v="2025-03-25T00:00:00"/>
    <d v="2025-03-27T00:00:00"/>
    <x v="1"/>
    <x v="0"/>
    <x v="2"/>
    <x v="0"/>
    <x v="3"/>
    <x v="1"/>
    <x v="12"/>
    <x v="1"/>
  </r>
  <r>
    <s v="TX502275"/>
    <x v="0"/>
    <x v="1"/>
    <x v="269"/>
    <n v="52"/>
    <d v="2025-03-25T00:00:00"/>
    <d v="2025-03-27T00:00:00"/>
    <x v="1"/>
    <x v="2"/>
    <x v="1"/>
    <x v="0"/>
    <x v="3"/>
    <x v="1"/>
    <x v="12"/>
    <x v="1"/>
  </r>
  <r>
    <s v="TX502276"/>
    <x v="8"/>
    <x v="3"/>
    <x v="918"/>
    <n v="135.79999999999998"/>
    <d v="2025-03-25T00:00:00"/>
    <d v="2025-03-27T00:00:00"/>
    <x v="0"/>
    <x v="1"/>
    <x v="1"/>
    <x v="0"/>
    <x v="3"/>
    <x v="1"/>
    <x v="12"/>
    <x v="0"/>
  </r>
  <r>
    <s v="TX502277"/>
    <x v="16"/>
    <x v="2"/>
    <x v="165"/>
    <n v="90.9"/>
    <d v="2025-03-25T00:00:00"/>
    <d v="2025-03-28T00:00:00"/>
    <x v="2"/>
    <x v="1"/>
    <x v="2"/>
    <x v="0"/>
    <x v="3"/>
    <x v="2"/>
    <x v="12"/>
    <x v="2"/>
  </r>
  <r>
    <s v="TX502278"/>
    <x v="2"/>
    <x v="2"/>
    <x v="919"/>
    <n v="304.20000000000005"/>
    <d v="2025-03-25T00:00:00"/>
    <d v="2025-03-26T00:00:00"/>
    <x v="1"/>
    <x v="0"/>
    <x v="0"/>
    <x v="0"/>
    <x v="3"/>
    <x v="3"/>
    <x v="12"/>
    <x v="1"/>
  </r>
  <r>
    <s v="TX502279"/>
    <x v="3"/>
    <x v="9"/>
    <x v="572"/>
    <n v="277.5"/>
    <d v="2025-03-25T00:00:00"/>
    <d v="2025-03-28T00:00:00"/>
    <x v="1"/>
    <x v="1"/>
    <x v="0"/>
    <x v="0"/>
    <x v="24"/>
    <x v="2"/>
    <x v="12"/>
    <x v="1"/>
  </r>
  <r>
    <s v="TX502280"/>
    <x v="8"/>
    <x v="0"/>
    <x v="59"/>
    <n v="23.1"/>
    <d v="2025-03-25T00:00:00"/>
    <d v="2025-03-26T00:00:00"/>
    <x v="1"/>
    <x v="0"/>
    <x v="0"/>
    <x v="0"/>
    <x v="25"/>
    <x v="3"/>
    <x v="12"/>
    <x v="1"/>
  </r>
  <r>
    <s v="TX502281"/>
    <x v="18"/>
    <x v="1"/>
    <x v="400"/>
    <n v="77.8"/>
    <d v="2025-03-25T00:00:00"/>
    <d v="2025-03-26T00:00:00"/>
    <x v="1"/>
    <x v="2"/>
    <x v="0"/>
    <x v="0"/>
    <x v="25"/>
    <x v="3"/>
    <x v="12"/>
    <x v="1"/>
  </r>
  <r>
    <s v="TX502282"/>
    <x v="6"/>
    <x v="11"/>
    <x v="118"/>
    <n v="1046.7"/>
    <d v="2025-03-25T00:00:00"/>
    <d v="2025-03-29T00:00:00"/>
    <x v="2"/>
    <x v="0"/>
    <x v="0"/>
    <x v="0"/>
    <x v="5"/>
    <x v="5"/>
    <x v="12"/>
    <x v="2"/>
  </r>
  <r>
    <s v="TX502283"/>
    <x v="16"/>
    <x v="11"/>
    <x v="444"/>
    <n v="576.9"/>
    <d v="2025-03-25T00:00:00"/>
    <d v="2025-03-25T00:00:00"/>
    <x v="2"/>
    <x v="0"/>
    <x v="2"/>
    <x v="0"/>
    <x v="6"/>
    <x v="7"/>
    <x v="12"/>
    <x v="2"/>
  </r>
  <r>
    <s v="TX502284"/>
    <x v="2"/>
    <x v="13"/>
    <x v="920"/>
    <n v="655.20000000000005"/>
    <d v="2025-03-25T00:00:00"/>
    <d v="2025-03-27T00:00:00"/>
    <x v="1"/>
    <x v="0"/>
    <x v="1"/>
    <x v="0"/>
    <x v="8"/>
    <x v="1"/>
    <x v="12"/>
    <x v="1"/>
  </r>
  <r>
    <s v="TX502285"/>
    <x v="10"/>
    <x v="9"/>
    <x v="372"/>
    <n v="116"/>
    <d v="2025-03-26T00:00:00"/>
    <d v="2025-03-27T00:00:00"/>
    <x v="1"/>
    <x v="0"/>
    <x v="1"/>
    <x v="0"/>
    <x v="8"/>
    <x v="3"/>
    <x v="12"/>
    <x v="1"/>
  </r>
  <r>
    <s v="TX502286"/>
    <x v="18"/>
    <x v="13"/>
    <x v="830"/>
    <n v="487.20000000000005"/>
    <d v="2025-03-26T00:00:00"/>
    <d v="2025-03-28T00:00:00"/>
    <x v="1"/>
    <x v="2"/>
    <x v="2"/>
    <x v="0"/>
    <x v="8"/>
    <x v="1"/>
    <x v="12"/>
    <x v="1"/>
  </r>
  <r>
    <s v="TX502287"/>
    <x v="1"/>
    <x v="21"/>
    <x v="8"/>
    <n v="499.80000000000007"/>
    <d v="2025-03-26T00:00:00"/>
    <d v="2025-03-27T00:00:00"/>
    <x v="1"/>
    <x v="3"/>
    <x v="0"/>
    <x v="0"/>
    <x v="8"/>
    <x v="3"/>
    <x v="12"/>
    <x v="1"/>
  </r>
  <r>
    <s v="TX502288"/>
    <x v="7"/>
    <x v="1"/>
    <x v="239"/>
    <n v="89"/>
    <d v="2025-03-26T00:00:00"/>
    <d v="2025-03-29T00:00:00"/>
    <x v="1"/>
    <x v="4"/>
    <x v="0"/>
    <x v="0"/>
    <x v="9"/>
    <x v="2"/>
    <x v="12"/>
    <x v="1"/>
  </r>
  <r>
    <s v="TX502289"/>
    <x v="1"/>
    <x v="9"/>
    <x v="34"/>
    <n v="160"/>
    <d v="2025-03-26T00:00:00"/>
    <d v="2025-03-28T00:00:00"/>
    <x v="3"/>
    <x v="1"/>
    <x v="1"/>
    <x v="0"/>
    <x v="9"/>
    <x v="1"/>
    <x v="12"/>
    <x v="3"/>
  </r>
  <r>
    <s v="TX502290"/>
    <x v="8"/>
    <x v="0"/>
    <x v="679"/>
    <n v="25.7"/>
    <d v="2025-03-26T00:00:00"/>
    <d v="2025-03-27T00:00:00"/>
    <x v="1"/>
    <x v="0"/>
    <x v="0"/>
    <x v="0"/>
    <x v="10"/>
    <x v="3"/>
    <x v="12"/>
    <x v="1"/>
  </r>
  <r>
    <s v="TX502291"/>
    <x v="16"/>
    <x v="2"/>
    <x v="404"/>
    <n v="196.79999999999998"/>
    <d v="2025-03-26T00:00:00"/>
    <d v="2025-04-01T00:00:00"/>
    <x v="1"/>
    <x v="0"/>
    <x v="0"/>
    <x v="0"/>
    <x v="11"/>
    <x v="4"/>
    <x v="12"/>
    <x v="1"/>
  </r>
  <r>
    <s v="TX502292"/>
    <x v="1"/>
    <x v="12"/>
    <x v="184"/>
    <n v="208.4"/>
    <d v="2025-03-26T00:00:00"/>
    <d v="2025-03-27T00:00:00"/>
    <x v="2"/>
    <x v="0"/>
    <x v="2"/>
    <x v="0"/>
    <x v="11"/>
    <x v="3"/>
    <x v="12"/>
    <x v="2"/>
  </r>
  <r>
    <s v="TX502293"/>
    <x v="8"/>
    <x v="0"/>
    <x v="452"/>
    <n v="31"/>
    <d v="2025-03-26T00:00:00"/>
    <d v="2025-03-27T00:00:00"/>
    <x v="1"/>
    <x v="0"/>
    <x v="1"/>
    <x v="0"/>
    <x v="19"/>
    <x v="3"/>
    <x v="12"/>
    <x v="1"/>
  </r>
  <r>
    <s v="TX502294"/>
    <x v="8"/>
    <x v="0"/>
    <x v="34"/>
    <n v="32"/>
    <d v="2025-03-26T00:00:00"/>
    <d v="2025-03-28T00:00:00"/>
    <x v="3"/>
    <x v="3"/>
    <x v="1"/>
    <x v="0"/>
    <x v="31"/>
    <x v="1"/>
    <x v="12"/>
    <x v="3"/>
  </r>
  <r>
    <s v="TX502295"/>
    <x v="16"/>
    <x v="12"/>
    <x v="207"/>
    <n v="233.2"/>
    <d v="2025-03-26T00:00:00"/>
    <d v="2025-03-30T00:00:00"/>
    <x v="1"/>
    <x v="1"/>
    <x v="4"/>
    <x v="0"/>
    <x v="20"/>
    <x v="5"/>
    <x v="12"/>
    <x v="1"/>
  </r>
  <r>
    <s v="TX502296"/>
    <x v="8"/>
    <x v="2"/>
    <x v="452"/>
    <n v="93"/>
    <d v="2025-03-26T00:00:00"/>
    <d v="2025-03-28T00:00:00"/>
    <x v="2"/>
    <x v="2"/>
    <x v="4"/>
    <x v="0"/>
    <x v="13"/>
    <x v="1"/>
    <x v="12"/>
    <x v="2"/>
  </r>
  <r>
    <s v="TX502297"/>
    <x v="3"/>
    <x v="0"/>
    <x v="7"/>
    <n v="40.299999999999997"/>
    <d v="2025-03-26T00:00:00"/>
    <d v="2025-03-27T00:00:00"/>
    <x v="1"/>
    <x v="1"/>
    <x v="2"/>
    <x v="0"/>
    <x v="54"/>
    <x v="3"/>
    <x v="12"/>
    <x v="1"/>
  </r>
  <r>
    <s v="TX502298"/>
    <x v="6"/>
    <x v="2"/>
    <x v="219"/>
    <n v="141.89999999999998"/>
    <d v="2025-03-26T00:00:00"/>
    <d v="2025-03-28T00:00:00"/>
    <x v="1"/>
    <x v="4"/>
    <x v="2"/>
    <x v="0"/>
    <x v="2"/>
    <x v="1"/>
    <x v="12"/>
    <x v="1"/>
  </r>
  <r>
    <s v="TX502299"/>
    <x v="2"/>
    <x v="0"/>
    <x v="921"/>
    <n v="82.8"/>
    <d v="2025-03-26T00:00:00"/>
    <d v="2025-03-27T00:00:00"/>
    <x v="1"/>
    <x v="0"/>
    <x v="0"/>
    <x v="0"/>
    <x v="2"/>
    <x v="3"/>
    <x v="12"/>
    <x v="1"/>
  </r>
  <r>
    <s v="TX502300"/>
    <x v="8"/>
    <x v="0"/>
    <x v="99"/>
    <n v="18.5"/>
    <d v="2025-03-26T00:00:00"/>
    <d v="2025-04-09T00:00:00"/>
    <x v="2"/>
    <x v="0"/>
    <x v="0"/>
    <x v="0"/>
    <x v="44"/>
    <x v="12"/>
    <x v="12"/>
    <x v="2"/>
  </r>
  <r>
    <s v="TX502301"/>
    <x v="3"/>
    <x v="1"/>
    <x v="247"/>
    <n v="120.8"/>
    <d v="2025-03-26T00:00:00"/>
    <d v="2025-03-27T00:00:00"/>
    <x v="1"/>
    <x v="2"/>
    <x v="0"/>
    <x v="0"/>
    <x v="22"/>
    <x v="3"/>
    <x v="12"/>
    <x v="1"/>
  </r>
  <r>
    <s v="TX502302"/>
    <x v="6"/>
    <x v="9"/>
    <x v="454"/>
    <n v="401"/>
    <d v="2025-03-26T00:00:00"/>
    <d v="2025-04-02T00:00:00"/>
    <x v="1"/>
    <x v="1"/>
    <x v="1"/>
    <x v="0"/>
    <x v="50"/>
    <x v="6"/>
    <x v="12"/>
    <x v="1"/>
  </r>
  <r>
    <s v="TX502303"/>
    <x v="4"/>
    <x v="0"/>
    <x v="329"/>
    <n v="41.5"/>
    <d v="2025-03-26T00:00:00"/>
    <d v="2025-03-28T00:00:00"/>
    <x v="1"/>
    <x v="2"/>
    <x v="0"/>
    <x v="0"/>
    <x v="3"/>
    <x v="1"/>
    <x v="12"/>
    <x v="1"/>
  </r>
  <r>
    <s v="TX502304"/>
    <x v="2"/>
    <x v="1"/>
    <x v="922"/>
    <n v="167.8"/>
    <d v="2025-03-26T00:00:00"/>
    <d v="2025-03-29T00:00:00"/>
    <x v="2"/>
    <x v="0"/>
    <x v="0"/>
    <x v="0"/>
    <x v="3"/>
    <x v="2"/>
    <x v="12"/>
    <x v="2"/>
  </r>
  <r>
    <s v="TX502305"/>
    <x v="8"/>
    <x v="1"/>
    <x v="569"/>
    <n v="33.4"/>
    <d v="2025-03-26T00:00:00"/>
    <d v="2025-03-30T00:00:00"/>
    <x v="2"/>
    <x v="0"/>
    <x v="1"/>
    <x v="0"/>
    <x v="3"/>
    <x v="5"/>
    <x v="12"/>
    <x v="2"/>
  </r>
  <r>
    <s v="TX502306"/>
    <x v="9"/>
    <x v="1"/>
    <x v="899"/>
    <n v="145.80000000000001"/>
    <d v="2025-03-26T00:00:00"/>
    <d v="2025-03-27T00:00:00"/>
    <x v="1"/>
    <x v="2"/>
    <x v="1"/>
    <x v="0"/>
    <x v="3"/>
    <x v="3"/>
    <x v="12"/>
    <x v="1"/>
  </r>
  <r>
    <s v="TX502307"/>
    <x v="5"/>
    <x v="1"/>
    <x v="534"/>
    <n v="100.4"/>
    <d v="2025-03-26T00:00:00"/>
    <d v="2025-03-28T00:00:00"/>
    <x v="2"/>
    <x v="1"/>
    <x v="2"/>
    <x v="0"/>
    <x v="3"/>
    <x v="1"/>
    <x v="12"/>
    <x v="2"/>
  </r>
  <r>
    <s v="TX502308"/>
    <x v="3"/>
    <x v="1"/>
    <x v="120"/>
    <n v="68.400000000000006"/>
    <d v="2025-03-26T00:00:00"/>
    <d v="2025-04-05T00:00:00"/>
    <x v="0"/>
    <x v="1"/>
    <x v="0"/>
    <x v="0"/>
    <x v="3"/>
    <x v="14"/>
    <x v="12"/>
    <x v="0"/>
  </r>
  <r>
    <s v="TX502309"/>
    <x v="5"/>
    <x v="1"/>
    <x v="562"/>
    <n v="215.8"/>
    <d v="2025-03-26T00:00:00"/>
    <d v="2025-03-26T00:00:00"/>
    <x v="1"/>
    <x v="1"/>
    <x v="4"/>
    <x v="0"/>
    <x v="3"/>
    <x v="7"/>
    <x v="12"/>
    <x v="1"/>
  </r>
  <r>
    <s v="TX502310"/>
    <x v="0"/>
    <x v="2"/>
    <x v="25"/>
    <n v="52.5"/>
    <d v="2025-03-26T00:00:00"/>
    <d v="2025-03-28T00:00:00"/>
    <x v="1"/>
    <x v="4"/>
    <x v="0"/>
    <x v="0"/>
    <x v="3"/>
    <x v="1"/>
    <x v="12"/>
    <x v="1"/>
  </r>
  <r>
    <s v="TX502311"/>
    <x v="13"/>
    <x v="20"/>
    <x v="613"/>
    <n v="670.5"/>
    <d v="2025-03-26T00:00:00"/>
    <d v="2025-03-27T00:00:00"/>
    <x v="1"/>
    <x v="0"/>
    <x v="1"/>
    <x v="0"/>
    <x v="3"/>
    <x v="3"/>
    <x v="12"/>
    <x v="1"/>
  </r>
  <r>
    <s v="TX502312"/>
    <x v="12"/>
    <x v="13"/>
    <x v="306"/>
    <n v="556.20000000000005"/>
    <d v="2025-03-26T00:00:00"/>
    <d v="2025-03-28T00:00:00"/>
    <x v="2"/>
    <x v="2"/>
    <x v="1"/>
    <x v="0"/>
    <x v="3"/>
    <x v="1"/>
    <x v="12"/>
    <x v="2"/>
  </r>
  <r>
    <s v="TX502313"/>
    <x v="7"/>
    <x v="2"/>
    <x v="126"/>
    <n v="146.39999999999998"/>
    <d v="2025-03-26T00:00:00"/>
    <d v="2025-03-28T00:00:00"/>
    <x v="2"/>
    <x v="2"/>
    <x v="0"/>
    <x v="0"/>
    <x v="3"/>
    <x v="1"/>
    <x v="12"/>
    <x v="2"/>
  </r>
  <r>
    <s v="TX502314"/>
    <x v="4"/>
    <x v="27"/>
    <x v="210"/>
    <n v="340.8"/>
    <d v="2025-03-26T00:00:00"/>
    <d v="2025-03-30T00:00:00"/>
    <x v="2"/>
    <x v="3"/>
    <x v="3"/>
    <x v="0"/>
    <x v="3"/>
    <x v="5"/>
    <x v="12"/>
    <x v="2"/>
  </r>
  <r>
    <s v="TX502315"/>
    <x v="16"/>
    <x v="0"/>
    <x v="166"/>
    <n v="52.5"/>
    <d v="2025-03-26T00:00:00"/>
    <d v="2025-03-27T00:00:00"/>
    <x v="2"/>
    <x v="0"/>
    <x v="0"/>
    <x v="0"/>
    <x v="3"/>
    <x v="3"/>
    <x v="12"/>
    <x v="2"/>
  </r>
  <r>
    <s v="TX502316"/>
    <x v="1"/>
    <x v="1"/>
    <x v="923"/>
    <n v="184.8"/>
    <d v="2025-03-26T00:00:00"/>
    <d v="2025-04-01T00:00:00"/>
    <x v="2"/>
    <x v="0"/>
    <x v="2"/>
    <x v="0"/>
    <x v="3"/>
    <x v="4"/>
    <x v="12"/>
    <x v="2"/>
  </r>
  <r>
    <s v="TX502317"/>
    <x v="4"/>
    <x v="5"/>
    <x v="207"/>
    <n v="641.29999999999995"/>
    <d v="2025-03-26T00:00:00"/>
    <d v="2025-03-28T00:00:00"/>
    <x v="1"/>
    <x v="1"/>
    <x v="2"/>
    <x v="0"/>
    <x v="3"/>
    <x v="1"/>
    <x v="12"/>
    <x v="1"/>
  </r>
  <r>
    <s v="TX502318"/>
    <x v="6"/>
    <x v="44"/>
    <x v="924"/>
    <n v="3509.7999999999997"/>
    <d v="2025-03-27T00:00:00"/>
    <d v="2025-03-29T00:00:00"/>
    <x v="0"/>
    <x v="0"/>
    <x v="0"/>
    <x v="0"/>
    <x v="3"/>
    <x v="1"/>
    <x v="12"/>
    <x v="0"/>
  </r>
  <r>
    <s v="TX502319"/>
    <x v="8"/>
    <x v="1"/>
    <x v="269"/>
    <n v="52"/>
    <d v="2025-03-27T00:00:00"/>
    <d v="2025-03-27T00:00:00"/>
    <x v="0"/>
    <x v="0"/>
    <x v="1"/>
    <x v="0"/>
    <x v="3"/>
    <x v="7"/>
    <x v="12"/>
    <x v="0"/>
  </r>
  <r>
    <s v="TX502320"/>
    <x v="1"/>
    <x v="12"/>
    <x v="199"/>
    <n v="132.4"/>
    <d v="2025-03-27T00:00:00"/>
    <d v="2025-03-27T00:00:00"/>
    <x v="1"/>
    <x v="2"/>
    <x v="4"/>
    <x v="0"/>
    <x v="5"/>
    <x v="7"/>
    <x v="12"/>
    <x v="1"/>
  </r>
  <r>
    <s v="TX502321"/>
    <x v="18"/>
    <x v="0"/>
    <x v="258"/>
    <n v="51.4"/>
    <d v="2025-03-27T00:00:00"/>
    <d v="2025-03-29T00:00:00"/>
    <x v="2"/>
    <x v="1"/>
    <x v="1"/>
    <x v="0"/>
    <x v="5"/>
    <x v="1"/>
    <x v="12"/>
    <x v="2"/>
  </r>
  <r>
    <s v="TX502322"/>
    <x v="8"/>
    <x v="1"/>
    <x v="224"/>
    <n v="60.4"/>
    <d v="2025-03-27T00:00:00"/>
    <d v="2025-03-28T00:00:00"/>
    <x v="2"/>
    <x v="2"/>
    <x v="2"/>
    <x v="0"/>
    <x v="6"/>
    <x v="3"/>
    <x v="12"/>
    <x v="2"/>
  </r>
  <r>
    <s v="TX502323"/>
    <x v="2"/>
    <x v="13"/>
    <x v="876"/>
    <n v="582"/>
    <d v="2025-03-27T00:00:00"/>
    <d v="2025-03-31T00:00:00"/>
    <x v="2"/>
    <x v="0"/>
    <x v="2"/>
    <x v="0"/>
    <x v="7"/>
    <x v="5"/>
    <x v="12"/>
    <x v="2"/>
  </r>
  <r>
    <s v="TX502324"/>
    <x v="2"/>
    <x v="0"/>
    <x v="863"/>
    <n v="76.900000000000006"/>
    <d v="2025-03-27T00:00:00"/>
    <d v="2025-03-28T00:00:00"/>
    <x v="1"/>
    <x v="1"/>
    <x v="2"/>
    <x v="0"/>
    <x v="8"/>
    <x v="3"/>
    <x v="12"/>
    <x v="1"/>
  </r>
  <r>
    <s v="TX502325"/>
    <x v="7"/>
    <x v="13"/>
    <x v="160"/>
    <n v="216.60000000000002"/>
    <d v="2025-03-27T00:00:00"/>
    <d v="2025-03-31T00:00:00"/>
    <x v="2"/>
    <x v="0"/>
    <x v="0"/>
    <x v="0"/>
    <x v="8"/>
    <x v="5"/>
    <x v="12"/>
    <x v="2"/>
  </r>
  <r>
    <s v="TX502326"/>
    <x v="1"/>
    <x v="3"/>
    <x v="766"/>
    <n v="240.79999999999998"/>
    <d v="2025-03-27T00:00:00"/>
    <d v="2025-03-27T00:00:00"/>
    <x v="2"/>
    <x v="2"/>
    <x v="1"/>
    <x v="0"/>
    <x v="11"/>
    <x v="7"/>
    <x v="12"/>
    <x v="2"/>
  </r>
  <r>
    <s v="TX502327"/>
    <x v="1"/>
    <x v="31"/>
    <x v="230"/>
    <n v="1495.2"/>
    <d v="2025-03-27T00:00:00"/>
    <d v="2025-03-29T00:00:00"/>
    <x v="2"/>
    <x v="1"/>
    <x v="0"/>
    <x v="0"/>
    <x v="18"/>
    <x v="1"/>
    <x v="12"/>
    <x v="2"/>
  </r>
  <r>
    <s v="TX502328"/>
    <x v="2"/>
    <x v="0"/>
    <x v="312"/>
    <n v="77.599999999999994"/>
    <d v="2025-03-27T00:00:00"/>
    <d v="2025-03-28T00:00:00"/>
    <x v="2"/>
    <x v="0"/>
    <x v="1"/>
    <x v="0"/>
    <x v="19"/>
    <x v="3"/>
    <x v="12"/>
    <x v="2"/>
  </r>
  <r>
    <s v="TX502329"/>
    <x v="1"/>
    <x v="2"/>
    <x v="925"/>
    <n v="215.10000000000002"/>
    <d v="2025-03-27T00:00:00"/>
    <d v="2025-03-30T00:00:00"/>
    <x v="2"/>
    <x v="1"/>
    <x v="0"/>
    <x v="0"/>
    <x v="19"/>
    <x v="2"/>
    <x v="12"/>
    <x v="2"/>
  </r>
  <r>
    <s v="TX502330"/>
    <x v="3"/>
    <x v="2"/>
    <x v="853"/>
    <n v="241.79999999999998"/>
    <d v="2025-03-27T00:00:00"/>
    <d v="2025-03-28T00:00:00"/>
    <x v="1"/>
    <x v="4"/>
    <x v="1"/>
    <x v="0"/>
    <x v="19"/>
    <x v="3"/>
    <x v="12"/>
    <x v="1"/>
  </r>
  <r>
    <s v="TX502331"/>
    <x v="1"/>
    <x v="20"/>
    <x v="579"/>
    <n v="1050"/>
    <d v="2025-03-27T00:00:00"/>
    <d v="2025-03-29T00:00:00"/>
    <x v="1"/>
    <x v="0"/>
    <x v="0"/>
    <x v="0"/>
    <x v="20"/>
    <x v="1"/>
    <x v="12"/>
    <x v="1"/>
  </r>
  <r>
    <s v="TX502332"/>
    <x v="4"/>
    <x v="13"/>
    <x v="807"/>
    <n v="163.80000000000001"/>
    <d v="2025-03-27T00:00:00"/>
    <d v="2025-03-29T00:00:00"/>
    <x v="2"/>
    <x v="1"/>
    <x v="1"/>
    <x v="0"/>
    <x v="2"/>
    <x v="1"/>
    <x v="12"/>
    <x v="2"/>
  </r>
  <r>
    <s v="TX502333"/>
    <x v="8"/>
    <x v="21"/>
    <x v="410"/>
    <n v="526.4"/>
    <d v="2025-03-27T00:00:00"/>
    <d v="2025-03-29T00:00:00"/>
    <x v="1"/>
    <x v="1"/>
    <x v="0"/>
    <x v="0"/>
    <x v="3"/>
    <x v="1"/>
    <x v="12"/>
    <x v="1"/>
  </r>
  <r>
    <s v="TX502334"/>
    <x v="5"/>
    <x v="2"/>
    <x v="17"/>
    <n v="109.80000000000001"/>
    <d v="2025-03-27T00:00:00"/>
    <d v="2025-03-29T00:00:00"/>
    <x v="2"/>
    <x v="4"/>
    <x v="0"/>
    <x v="0"/>
    <x v="3"/>
    <x v="1"/>
    <x v="12"/>
    <x v="2"/>
  </r>
  <r>
    <s v="TX502335"/>
    <x v="13"/>
    <x v="0"/>
    <x v="204"/>
    <n v="55.2"/>
    <d v="2025-03-27T00:00:00"/>
    <d v="2025-03-29T00:00:00"/>
    <x v="1"/>
    <x v="3"/>
    <x v="0"/>
    <x v="0"/>
    <x v="3"/>
    <x v="1"/>
    <x v="12"/>
    <x v="1"/>
  </r>
  <r>
    <s v="TX502336"/>
    <x v="6"/>
    <x v="9"/>
    <x v="316"/>
    <n v="299.5"/>
    <d v="2025-03-27T00:00:00"/>
    <d v="2025-03-29T00:00:00"/>
    <x v="1"/>
    <x v="0"/>
    <x v="0"/>
    <x v="0"/>
    <x v="3"/>
    <x v="1"/>
    <x v="12"/>
    <x v="1"/>
  </r>
  <r>
    <s v="TX502337"/>
    <x v="6"/>
    <x v="0"/>
    <x v="548"/>
    <n v="44"/>
    <d v="2025-03-27T00:00:00"/>
    <d v="2025-03-28T00:00:00"/>
    <x v="2"/>
    <x v="2"/>
    <x v="2"/>
    <x v="0"/>
    <x v="3"/>
    <x v="3"/>
    <x v="12"/>
    <x v="2"/>
  </r>
  <r>
    <s v="TX502338"/>
    <x v="9"/>
    <x v="1"/>
    <x v="596"/>
    <n v="137.4"/>
    <d v="2025-03-27T00:00:00"/>
    <d v="2025-03-27T00:00:00"/>
    <x v="1"/>
    <x v="0"/>
    <x v="0"/>
    <x v="0"/>
    <x v="3"/>
    <x v="7"/>
    <x v="12"/>
    <x v="1"/>
  </r>
  <r>
    <s v="TX502339"/>
    <x v="5"/>
    <x v="1"/>
    <x v="480"/>
    <n v="123.2"/>
    <d v="2025-03-27T00:00:00"/>
    <d v="2025-03-31T00:00:00"/>
    <x v="1"/>
    <x v="3"/>
    <x v="1"/>
    <x v="0"/>
    <x v="3"/>
    <x v="5"/>
    <x v="12"/>
    <x v="1"/>
  </r>
  <r>
    <s v="TX502340"/>
    <x v="7"/>
    <x v="3"/>
    <x v="147"/>
    <n v="362.59999999999997"/>
    <d v="2025-03-27T00:00:00"/>
    <d v="2025-03-28T00:00:00"/>
    <x v="1"/>
    <x v="0"/>
    <x v="0"/>
    <x v="0"/>
    <x v="3"/>
    <x v="3"/>
    <x v="12"/>
    <x v="1"/>
  </r>
  <r>
    <s v="TX502341"/>
    <x v="8"/>
    <x v="7"/>
    <x v="193"/>
    <n v="462"/>
    <d v="2025-03-27T00:00:00"/>
    <d v="2025-03-29T00:00:00"/>
    <x v="1"/>
    <x v="1"/>
    <x v="2"/>
    <x v="0"/>
    <x v="3"/>
    <x v="1"/>
    <x v="12"/>
    <x v="1"/>
  </r>
  <r>
    <s v="TX502342"/>
    <x v="0"/>
    <x v="1"/>
    <x v="918"/>
    <n v="38.799999999999997"/>
    <d v="2025-03-27T00:00:00"/>
    <d v="2025-03-29T00:00:00"/>
    <x v="2"/>
    <x v="1"/>
    <x v="2"/>
    <x v="0"/>
    <x v="6"/>
    <x v="1"/>
    <x v="12"/>
    <x v="2"/>
  </r>
  <r>
    <s v="TX502343"/>
    <x v="11"/>
    <x v="2"/>
    <x v="184"/>
    <n v="156.30000000000001"/>
    <d v="2025-03-27T00:00:00"/>
    <d v="2025-03-30T00:00:00"/>
    <x v="1"/>
    <x v="3"/>
    <x v="3"/>
    <x v="0"/>
    <x v="6"/>
    <x v="2"/>
    <x v="12"/>
    <x v="1"/>
  </r>
  <r>
    <s v="TX502344"/>
    <x v="6"/>
    <x v="0"/>
    <x v="285"/>
    <n v="74.900000000000006"/>
    <d v="2025-03-27T00:00:00"/>
    <d v="2025-03-29T00:00:00"/>
    <x v="3"/>
    <x v="0"/>
    <x v="0"/>
    <x v="0"/>
    <x v="7"/>
    <x v="1"/>
    <x v="12"/>
    <x v="3"/>
  </r>
  <r>
    <s v="TX502345"/>
    <x v="9"/>
    <x v="3"/>
    <x v="659"/>
    <n v="347.2"/>
    <d v="2025-03-27T00:00:00"/>
    <d v="2025-03-30T00:00:00"/>
    <x v="2"/>
    <x v="4"/>
    <x v="0"/>
    <x v="0"/>
    <x v="8"/>
    <x v="2"/>
    <x v="12"/>
    <x v="2"/>
  </r>
  <r>
    <s v="TX502346"/>
    <x v="16"/>
    <x v="12"/>
    <x v="921"/>
    <n v="331.2"/>
    <d v="2025-03-28T00:00:00"/>
    <d v="2025-03-31T00:00:00"/>
    <x v="2"/>
    <x v="4"/>
    <x v="0"/>
    <x v="0"/>
    <x v="8"/>
    <x v="2"/>
    <x v="12"/>
    <x v="2"/>
  </r>
  <r>
    <s v="TX502347"/>
    <x v="2"/>
    <x v="0"/>
    <x v="67"/>
    <n v="97.7"/>
    <d v="2025-03-28T00:00:00"/>
    <d v="2025-03-29T00:00:00"/>
    <x v="2"/>
    <x v="1"/>
    <x v="0"/>
    <x v="0"/>
    <x v="8"/>
    <x v="3"/>
    <x v="12"/>
    <x v="2"/>
  </r>
  <r>
    <s v="TX502348"/>
    <x v="6"/>
    <x v="9"/>
    <x v="331"/>
    <n v="418"/>
    <d v="2025-03-28T00:00:00"/>
    <d v="2025-03-29T00:00:00"/>
    <x v="2"/>
    <x v="4"/>
    <x v="0"/>
    <x v="0"/>
    <x v="8"/>
    <x v="3"/>
    <x v="12"/>
    <x v="2"/>
  </r>
  <r>
    <s v="TX502349"/>
    <x v="8"/>
    <x v="9"/>
    <x v="234"/>
    <n v="117.5"/>
    <d v="2025-03-28T00:00:00"/>
    <d v="2025-04-01T00:00:00"/>
    <x v="3"/>
    <x v="0"/>
    <x v="0"/>
    <x v="0"/>
    <x v="8"/>
    <x v="5"/>
    <x v="12"/>
    <x v="3"/>
  </r>
  <r>
    <s v="TX502350"/>
    <x v="9"/>
    <x v="2"/>
    <x v="926"/>
    <n v="133.80000000000001"/>
    <d v="2025-03-28T00:00:00"/>
    <d v="2025-03-31T00:00:00"/>
    <x v="2"/>
    <x v="4"/>
    <x v="1"/>
    <x v="0"/>
    <x v="26"/>
    <x v="2"/>
    <x v="12"/>
    <x v="2"/>
  </r>
  <r>
    <s v="TX502351"/>
    <x v="0"/>
    <x v="2"/>
    <x v="260"/>
    <n v="60.300000000000004"/>
    <d v="2025-03-28T00:00:00"/>
    <d v="2025-03-30T00:00:00"/>
    <x v="2"/>
    <x v="3"/>
    <x v="4"/>
    <x v="0"/>
    <x v="11"/>
    <x v="1"/>
    <x v="12"/>
    <x v="2"/>
  </r>
  <r>
    <s v="TX502352"/>
    <x v="2"/>
    <x v="9"/>
    <x v="927"/>
    <n v="768"/>
    <d v="2025-03-28T00:00:00"/>
    <d v="2025-03-29T00:00:00"/>
    <x v="2"/>
    <x v="1"/>
    <x v="2"/>
    <x v="0"/>
    <x v="53"/>
    <x v="3"/>
    <x v="12"/>
    <x v="2"/>
  </r>
  <r>
    <s v="TX502353"/>
    <x v="1"/>
    <x v="1"/>
    <x v="928"/>
    <n v="143.6"/>
    <d v="2025-03-28T00:00:00"/>
    <d v="2025-04-01T00:00:00"/>
    <x v="2"/>
    <x v="1"/>
    <x v="0"/>
    <x v="0"/>
    <x v="1"/>
    <x v="5"/>
    <x v="12"/>
    <x v="2"/>
  </r>
  <r>
    <s v="TX502354"/>
    <x v="10"/>
    <x v="0"/>
    <x v="337"/>
    <n v="64.7"/>
    <d v="2025-03-28T00:00:00"/>
    <d v="2025-03-30T00:00:00"/>
    <x v="0"/>
    <x v="0"/>
    <x v="1"/>
    <x v="0"/>
    <x v="1"/>
    <x v="1"/>
    <x v="12"/>
    <x v="0"/>
  </r>
  <r>
    <s v="TX502355"/>
    <x v="9"/>
    <x v="8"/>
    <x v="247"/>
    <n v="483.2"/>
    <d v="2025-03-28T00:00:00"/>
    <d v="2025-03-30T00:00:00"/>
    <x v="2"/>
    <x v="3"/>
    <x v="2"/>
    <x v="0"/>
    <x v="2"/>
    <x v="1"/>
    <x v="12"/>
    <x v="2"/>
  </r>
  <r>
    <s v="TX502356"/>
    <x v="6"/>
    <x v="12"/>
    <x v="797"/>
    <n v="344"/>
    <d v="2025-03-28T00:00:00"/>
    <d v="2025-03-31T00:00:00"/>
    <x v="2"/>
    <x v="2"/>
    <x v="2"/>
    <x v="0"/>
    <x v="22"/>
    <x v="2"/>
    <x v="12"/>
    <x v="2"/>
  </r>
  <r>
    <s v="TX502357"/>
    <x v="12"/>
    <x v="1"/>
    <x v="624"/>
    <n v="84.2"/>
    <d v="2025-03-28T00:00:00"/>
    <d v="2025-03-29T00:00:00"/>
    <x v="2"/>
    <x v="4"/>
    <x v="1"/>
    <x v="0"/>
    <x v="34"/>
    <x v="3"/>
    <x v="12"/>
    <x v="2"/>
  </r>
  <r>
    <s v="TX502358"/>
    <x v="16"/>
    <x v="11"/>
    <x v="18"/>
    <n v="459.90000000000003"/>
    <d v="2025-03-28T00:00:00"/>
    <d v="2025-03-29T00:00:00"/>
    <x v="1"/>
    <x v="2"/>
    <x v="1"/>
    <x v="0"/>
    <x v="3"/>
    <x v="3"/>
    <x v="12"/>
    <x v="1"/>
  </r>
  <r>
    <s v="TX502359"/>
    <x v="9"/>
    <x v="12"/>
    <x v="773"/>
    <n v="295.2"/>
    <d v="2025-03-28T00:00:00"/>
    <d v="2025-03-29T00:00:00"/>
    <x v="1"/>
    <x v="4"/>
    <x v="0"/>
    <x v="0"/>
    <x v="3"/>
    <x v="3"/>
    <x v="12"/>
    <x v="1"/>
  </r>
  <r>
    <s v="TX502360"/>
    <x v="8"/>
    <x v="9"/>
    <x v="49"/>
    <n v="135"/>
    <d v="2025-03-28T00:00:00"/>
    <d v="2025-03-31T00:00:00"/>
    <x v="2"/>
    <x v="2"/>
    <x v="2"/>
    <x v="0"/>
    <x v="3"/>
    <x v="2"/>
    <x v="12"/>
    <x v="2"/>
  </r>
  <r>
    <s v="TX502361"/>
    <x v="8"/>
    <x v="13"/>
    <x v="110"/>
    <n v="360.6"/>
    <d v="2025-03-28T00:00:00"/>
    <d v="2025-03-29T00:00:00"/>
    <x v="1"/>
    <x v="3"/>
    <x v="0"/>
    <x v="0"/>
    <x v="3"/>
    <x v="3"/>
    <x v="12"/>
    <x v="1"/>
  </r>
  <r>
    <s v="TX502362"/>
    <x v="2"/>
    <x v="3"/>
    <x v="252"/>
    <n v="658.69999999999993"/>
    <d v="2025-03-28T00:00:00"/>
    <d v="2025-03-30T00:00:00"/>
    <x v="2"/>
    <x v="4"/>
    <x v="1"/>
    <x v="0"/>
    <x v="3"/>
    <x v="1"/>
    <x v="12"/>
    <x v="2"/>
  </r>
  <r>
    <s v="TX502363"/>
    <x v="2"/>
    <x v="1"/>
    <x v="778"/>
    <n v="248.2"/>
    <d v="2025-03-28T00:00:00"/>
    <d v="2025-03-28T00:00:00"/>
    <x v="2"/>
    <x v="2"/>
    <x v="3"/>
    <x v="0"/>
    <x v="43"/>
    <x v="7"/>
    <x v="12"/>
    <x v="2"/>
  </r>
  <r>
    <s v="TX502364"/>
    <x v="8"/>
    <x v="12"/>
    <x v="929"/>
    <n v="67.599999999999994"/>
    <d v="2025-03-28T00:00:00"/>
    <d v="2025-03-31T00:00:00"/>
    <x v="1"/>
    <x v="3"/>
    <x v="0"/>
    <x v="0"/>
    <x v="6"/>
    <x v="2"/>
    <x v="12"/>
    <x v="1"/>
  </r>
  <r>
    <s v="TX502365"/>
    <x v="1"/>
    <x v="0"/>
    <x v="711"/>
    <n v="36.9"/>
    <d v="2025-03-28T00:00:00"/>
    <d v="2025-03-29T00:00:00"/>
    <x v="1"/>
    <x v="0"/>
    <x v="0"/>
    <x v="0"/>
    <x v="6"/>
    <x v="3"/>
    <x v="12"/>
    <x v="1"/>
  </r>
  <r>
    <s v="TX502366"/>
    <x v="9"/>
    <x v="1"/>
    <x v="351"/>
    <n v="45.2"/>
    <d v="2025-03-28T00:00:00"/>
    <d v="2025-04-10T00:00:00"/>
    <x v="2"/>
    <x v="2"/>
    <x v="1"/>
    <x v="0"/>
    <x v="8"/>
    <x v="10"/>
    <x v="12"/>
    <x v="2"/>
  </r>
  <r>
    <s v="TX502367"/>
    <x v="7"/>
    <x v="12"/>
    <x v="775"/>
    <n v="140"/>
    <d v="2025-03-28T00:00:00"/>
    <d v="2025-04-02T00:00:00"/>
    <x v="1"/>
    <x v="3"/>
    <x v="1"/>
    <x v="0"/>
    <x v="8"/>
    <x v="0"/>
    <x v="12"/>
    <x v="1"/>
  </r>
  <r>
    <s v="TX502368"/>
    <x v="9"/>
    <x v="13"/>
    <x v="305"/>
    <n v="381.6"/>
    <d v="2025-03-28T00:00:00"/>
    <d v="2025-04-04T00:00:00"/>
    <x v="0"/>
    <x v="1"/>
    <x v="2"/>
    <x v="0"/>
    <x v="8"/>
    <x v="6"/>
    <x v="12"/>
    <x v="0"/>
  </r>
  <r>
    <s v="TX502369"/>
    <x v="15"/>
    <x v="12"/>
    <x v="716"/>
    <n v="314.39999999999998"/>
    <d v="2025-03-28T00:00:00"/>
    <d v="2025-03-29T00:00:00"/>
    <x v="1"/>
    <x v="4"/>
    <x v="1"/>
    <x v="0"/>
    <x v="8"/>
    <x v="3"/>
    <x v="12"/>
    <x v="1"/>
  </r>
  <r>
    <s v="TX502370"/>
    <x v="3"/>
    <x v="1"/>
    <x v="153"/>
    <n v="77"/>
    <d v="2025-03-28T00:00:00"/>
    <d v="2025-03-29T00:00:00"/>
    <x v="1"/>
    <x v="0"/>
    <x v="2"/>
    <x v="0"/>
    <x v="8"/>
    <x v="3"/>
    <x v="12"/>
    <x v="1"/>
  </r>
  <r>
    <s v="TX502371"/>
    <x v="8"/>
    <x v="5"/>
    <x v="674"/>
    <n v="786.5"/>
    <d v="2025-03-28T00:00:00"/>
    <d v="2025-03-29T00:00:00"/>
    <x v="2"/>
    <x v="1"/>
    <x v="4"/>
    <x v="0"/>
    <x v="8"/>
    <x v="3"/>
    <x v="12"/>
    <x v="2"/>
  </r>
  <r>
    <s v="TX502372"/>
    <x v="6"/>
    <x v="12"/>
    <x v="930"/>
    <n v="485.6"/>
    <d v="2025-03-28T00:00:00"/>
    <d v="2025-04-01T00:00:00"/>
    <x v="1"/>
    <x v="1"/>
    <x v="2"/>
    <x v="0"/>
    <x v="17"/>
    <x v="5"/>
    <x v="12"/>
    <x v="1"/>
  </r>
  <r>
    <s v="TX502373"/>
    <x v="11"/>
    <x v="0"/>
    <x v="931"/>
    <n v="40.200000000000003"/>
    <d v="2025-03-28T00:00:00"/>
    <d v="2025-03-31T00:00:00"/>
    <x v="2"/>
    <x v="0"/>
    <x v="2"/>
    <x v="0"/>
    <x v="11"/>
    <x v="2"/>
    <x v="12"/>
    <x v="2"/>
  </r>
  <r>
    <s v="TX502374"/>
    <x v="5"/>
    <x v="9"/>
    <x v="590"/>
    <n v="159.5"/>
    <d v="2025-03-28T00:00:00"/>
    <d v="2025-03-30T00:00:00"/>
    <x v="2"/>
    <x v="2"/>
    <x v="2"/>
    <x v="0"/>
    <x v="28"/>
    <x v="1"/>
    <x v="12"/>
    <x v="2"/>
  </r>
  <r>
    <s v="TX502375"/>
    <x v="14"/>
    <x v="9"/>
    <x v="35"/>
    <n v="79"/>
    <d v="2025-03-29T00:00:00"/>
    <d v="2025-03-30T00:00:00"/>
    <x v="1"/>
    <x v="3"/>
    <x v="2"/>
    <x v="0"/>
    <x v="21"/>
    <x v="3"/>
    <x v="12"/>
    <x v="1"/>
  </r>
  <r>
    <s v="TX502376"/>
    <x v="10"/>
    <x v="1"/>
    <x v="403"/>
    <n v="50.2"/>
    <d v="2025-03-29T00:00:00"/>
    <d v="2025-03-31T00:00:00"/>
    <x v="0"/>
    <x v="1"/>
    <x v="0"/>
    <x v="0"/>
    <x v="21"/>
    <x v="1"/>
    <x v="12"/>
    <x v="0"/>
  </r>
  <r>
    <s v="TX502377"/>
    <x v="1"/>
    <x v="44"/>
    <x v="202"/>
    <n v="876.30000000000007"/>
    <d v="2025-03-29T00:00:00"/>
    <d v="2025-03-30T00:00:00"/>
    <x v="2"/>
    <x v="4"/>
    <x v="0"/>
    <x v="0"/>
    <x v="1"/>
    <x v="3"/>
    <x v="12"/>
    <x v="2"/>
  </r>
  <r>
    <s v="TX502378"/>
    <x v="3"/>
    <x v="1"/>
    <x v="567"/>
    <n v="84.4"/>
    <d v="2025-03-29T00:00:00"/>
    <d v="2025-03-31T00:00:00"/>
    <x v="2"/>
    <x v="0"/>
    <x v="2"/>
    <x v="0"/>
    <x v="1"/>
    <x v="1"/>
    <x v="12"/>
    <x v="2"/>
  </r>
  <r>
    <s v="TX502379"/>
    <x v="0"/>
    <x v="7"/>
    <x v="932"/>
    <n v="123"/>
    <d v="2025-03-29T00:00:00"/>
    <d v="2025-03-30T00:00:00"/>
    <x v="2"/>
    <x v="4"/>
    <x v="0"/>
    <x v="0"/>
    <x v="2"/>
    <x v="3"/>
    <x v="12"/>
    <x v="2"/>
  </r>
  <r>
    <s v="TX502380"/>
    <x v="7"/>
    <x v="0"/>
    <x v="224"/>
    <n v="30.2"/>
    <d v="2025-03-29T00:00:00"/>
    <d v="2025-03-31T00:00:00"/>
    <x v="2"/>
    <x v="1"/>
    <x v="2"/>
    <x v="0"/>
    <x v="34"/>
    <x v="1"/>
    <x v="12"/>
    <x v="2"/>
  </r>
  <r>
    <s v="TX502381"/>
    <x v="5"/>
    <x v="2"/>
    <x v="631"/>
    <n v="75.900000000000006"/>
    <d v="2025-03-29T00:00:00"/>
    <d v="2025-04-01T00:00:00"/>
    <x v="2"/>
    <x v="2"/>
    <x v="0"/>
    <x v="0"/>
    <x v="3"/>
    <x v="2"/>
    <x v="12"/>
    <x v="2"/>
  </r>
  <r>
    <s v="TX502382"/>
    <x v="8"/>
    <x v="9"/>
    <x v="47"/>
    <n v="148.5"/>
    <d v="2025-03-29T00:00:00"/>
    <d v="2025-03-31T00:00:00"/>
    <x v="1"/>
    <x v="3"/>
    <x v="0"/>
    <x v="0"/>
    <x v="3"/>
    <x v="1"/>
    <x v="12"/>
    <x v="1"/>
  </r>
  <r>
    <s v="TX502383"/>
    <x v="9"/>
    <x v="8"/>
    <x v="619"/>
    <n v="263.2"/>
    <d v="2025-03-29T00:00:00"/>
    <d v="2025-03-30T00:00:00"/>
    <x v="0"/>
    <x v="3"/>
    <x v="2"/>
    <x v="0"/>
    <x v="3"/>
    <x v="3"/>
    <x v="12"/>
    <x v="0"/>
  </r>
  <r>
    <s v="TX502384"/>
    <x v="10"/>
    <x v="1"/>
    <x v="458"/>
    <n v="87.2"/>
    <d v="2025-03-29T00:00:00"/>
    <d v="2025-03-30T00:00:00"/>
    <x v="1"/>
    <x v="1"/>
    <x v="2"/>
    <x v="0"/>
    <x v="3"/>
    <x v="3"/>
    <x v="12"/>
    <x v="1"/>
  </r>
  <r>
    <s v="TX502385"/>
    <x v="15"/>
    <x v="12"/>
    <x v="473"/>
    <n v="313.60000000000002"/>
    <d v="2025-03-29T00:00:00"/>
    <d v="2025-03-30T00:00:00"/>
    <x v="1"/>
    <x v="2"/>
    <x v="0"/>
    <x v="0"/>
    <x v="3"/>
    <x v="3"/>
    <x v="12"/>
    <x v="1"/>
  </r>
  <r>
    <s v="TX502386"/>
    <x v="6"/>
    <x v="1"/>
    <x v="448"/>
    <n v="113"/>
    <d v="2025-03-29T00:00:00"/>
    <d v="2025-04-02T00:00:00"/>
    <x v="1"/>
    <x v="1"/>
    <x v="1"/>
    <x v="0"/>
    <x v="3"/>
    <x v="5"/>
    <x v="12"/>
    <x v="1"/>
  </r>
  <r>
    <s v="TX502387"/>
    <x v="16"/>
    <x v="0"/>
    <x v="294"/>
    <n v="36.700000000000003"/>
    <d v="2025-03-29T00:00:00"/>
    <d v="2025-03-30T00:00:00"/>
    <x v="2"/>
    <x v="0"/>
    <x v="2"/>
    <x v="0"/>
    <x v="3"/>
    <x v="3"/>
    <x v="12"/>
    <x v="2"/>
  </r>
  <r>
    <s v="TX502388"/>
    <x v="2"/>
    <x v="12"/>
    <x v="319"/>
    <n v="414.4"/>
    <d v="2025-03-29T00:00:00"/>
    <d v="2025-04-09T00:00:00"/>
    <x v="1"/>
    <x v="4"/>
    <x v="2"/>
    <x v="0"/>
    <x v="3"/>
    <x v="11"/>
    <x v="12"/>
    <x v="1"/>
  </r>
  <r>
    <s v="TX502389"/>
    <x v="8"/>
    <x v="13"/>
    <x v="261"/>
    <n v="97.199999999999989"/>
    <d v="2025-03-29T00:00:00"/>
    <d v="2025-04-02T00:00:00"/>
    <x v="1"/>
    <x v="1"/>
    <x v="2"/>
    <x v="0"/>
    <x v="6"/>
    <x v="5"/>
    <x v="12"/>
    <x v="1"/>
  </r>
  <r>
    <s v="TX502390"/>
    <x v="8"/>
    <x v="1"/>
    <x v="736"/>
    <n v="40.4"/>
    <d v="2025-03-29T00:00:00"/>
    <d v="2025-03-30T00:00:00"/>
    <x v="2"/>
    <x v="0"/>
    <x v="0"/>
    <x v="0"/>
    <x v="6"/>
    <x v="3"/>
    <x v="12"/>
    <x v="2"/>
  </r>
  <r>
    <s v="TX502391"/>
    <x v="11"/>
    <x v="1"/>
    <x v="436"/>
    <n v="53.8"/>
    <d v="2025-03-29T00:00:00"/>
    <d v="2025-03-31T00:00:00"/>
    <x v="2"/>
    <x v="2"/>
    <x v="0"/>
    <x v="0"/>
    <x v="6"/>
    <x v="1"/>
    <x v="12"/>
    <x v="2"/>
  </r>
  <r>
    <s v="TX502392"/>
    <x v="1"/>
    <x v="1"/>
    <x v="844"/>
    <n v="164.8"/>
    <d v="2025-03-29T00:00:00"/>
    <d v="2025-04-01T00:00:00"/>
    <x v="0"/>
    <x v="0"/>
    <x v="0"/>
    <x v="0"/>
    <x v="7"/>
    <x v="2"/>
    <x v="12"/>
    <x v="0"/>
  </r>
  <r>
    <s v="TX502393"/>
    <x v="2"/>
    <x v="1"/>
    <x v="933"/>
    <n v="235.6"/>
    <d v="2025-03-29T00:00:00"/>
    <d v="2025-03-31T00:00:00"/>
    <x v="1"/>
    <x v="1"/>
    <x v="2"/>
    <x v="0"/>
    <x v="8"/>
    <x v="1"/>
    <x v="12"/>
    <x v="1"/>
  </r>
  <r>
    <s v="TX502394"/>
    <x v="11"/>
    <x v="12"/>
    <x v="294"/>
    <n v="146.80000000000001"/>
    <d v="2025-03-29T00:00:00"/>
    <d v="2025-03-30T00:00:00"/>
    <x v="1"/>
    <x v="1"/>
    <x v="0"/>
    <x v="0"/>
    <x v="8"/>
    <x v="3"/>
    <x v="12"/>
    <x v="1"/>
  </r>
  <r>
    <s v="TX502395"/>
    <x v="17"/>
    <x v="2"/>
    <x v="84"/>
    <n v="140.39999999999998"/>
    <d v="2025-03-29T00:00:00"/>
    <d v="2025-03-30T00:00:00"/>
    <x v="1"/>
    <x v="4"/>
    <x v="2"/>
    <x v="0"/>
    <x v="10"/>
    <x v="3"/>
    <x v="12"/>
    <x v="1"/>
  </r>
  <r>
    <s v="TX502396"/>
    <x v="3"/>
    <x v="0"/>
    <x v="854"/>
    <n v="61.4"/>
    <d v="2025-03-29T00:00:00"/>
    <d v="2025-03-30T00:00:00"/>
    <x v="1"/>
    <x v="1"/>
    <x v="0"/>
    <x v="0"/>
    <x v="10"/>
    <x v="3"/>
    <x v="12"/>
    <x v="1"/>
  </r>
  <r>
    <s v="TX502397"/>
    <x v="15"/>
    <x v="1"/>
    <x v="409"/>
    <n v="45.8"/>
    <d v="2025-03-29T00:00:00"/>
    <d v="2025-03-30T00:00:00"/>
    <x v="1"/>
    <x v="0"/>
    <x v="0"/>
    <x v="0"/>
    <x v="11"/>
    <x v="3"/>
    <x v="12"/>
    <x v="1"/>
  </r>
  <r>
    <s v="TX502398"/>
    <x v="10"/>
    <x v="1"/>
    <x v="237"/>
    <n v="44.2"/>
    <d v="2025-03-29T00:00:00"/>
    <d v="2025-03-30T00:00:00"/>
    <x v="2"/>
    <x v="4"/>
    <x v="0"/>
    <x v="0"/>
    <x v="11"/>
    <x v="3"/>
    <x v="12"/>
    <x v="2"/>
  </r>
  <r>
    <s v="TX502399"/>
    <x v="12"/>
    <x v="1"/>
    <x v="452"/>
    <n v="62"/>
    <d v="2025-03-29T00:00:00"/>
    <d v="2025-03-31T00:00:00"/>
    <x v="2"/>
    <x v="2"/>
    <x v="0"/>
    <x v="0"/>
    <x v="18"/>
    <x v="1"/>
    <x v="12"/>
    <x v="2"/>
  </r>
  <r>
    <s v="TX502400"/>
    <x v="18"/>
    <x v="1"/>
    <x v="636"/>
    <n v="168.4"/>
    <d v="2025-03-29T00:00:00"/>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AB8987-3BAD-4911-9A6A-4DC2918580F3}" name="Customer rating" cacheId="2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152:B158" firstHeaderRow="1" firstDataRow="1" firstDataCol="1"/>
  <pivotFields count="16">
    <pivotField dataField="1" compact="0" outline="0" showAll="0"/>
    <pivotField compact="0" outline="0" showAll="0"/>
    <pivotField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compact="0" outline="0" showAll="0"/>
    <pivotField compact="0" numFmtId="15" outline="0" showAll="0"/>
    <pivotField compact="0" numFmtId="15" outline="0" showAll="0"/>
    <pivotField compact="0" outline="0" showAll="0">
      <items count="5">
        <item x="0"/>
        <item x="2"/>
        <item x="1"/>
        <item x="3"/>
        <item t="default"/>
      </items>
    </pivotField>
    <pivotField compact="0" outline="0" showAll="0">
      <items count="6">
        <item x="0"/>
        <item x="3"/>
        <item x="4"/>
        <item x="2"/>
        <item x="1"/>
        <item t="default"/>
      </items>
    </pivotField>
    <pivotField axis="axisRow" compact="0" outline="0" showAll="0">
      <items count="6">
        <item x="3"/>
        <item x="4"/>
        <item x="1"/>
        <item x="0"/>
        <item x="2"/>
        <item t="default"/>
      </items>
    </pivotField>
    <pivotField compact="0" outline="0" showAll="0">
      <items count="2">
        <item x="0"/>
        <item t="default"/>
      </items>
    </pivotField>
    <pivotField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compact="0" outline="0" showAll="0">
      <items count="6">
        <item x="0"/>
        <item x="1"/>
        <item x="2"/>
        <item x="3"/>
        <item x="4"/>
        <item t="default"/>
      </items>
    </pivotField>
    <pivotField compact="0" outline="0" showAll="0">
      <items count="14">
        <item x="0"/>
        <item x="1"/>
        <item x="2"/>
        <item x="3"/>
        <item x="4"/>
        <item x="5"/>
        <item x="6"/>
        <item x="7"/>
        <item x="8"/>
        <item x="9"/>
        <item x="10"/>
        <item x="11"/>
        <item x="12"/>
        <item t="default"/>
      </items>
    </pivotField>
    <pivotField compact="0" outline="0" showAll="0">
      <items count="5">
        <item x="2"/>
        <item x="1"/>
        <item x="3"/>
        <item x="0"/>
        <item t="default"/>
      </items>
    </pivotField>
    <pivotField compact="0" outline="0" showAll="0">
      <items count="8">
        <item x="0"/>
        <item x="1"/>
        <item x="2"/>
        <item x="4"/>
        <item x="3"/>
        <item x="5"/>
        <item x="6"/>
        <item t="default"/>
      </items>
    </pivotField>
  </pivotFields>
  <rowFields count="1">
    <field x="9"/>
  </rowFields>
  <rowItems count="6">
    <i>
      <x/>
    </i>
    <i>
      <x v="1"/>
    </i>
    <i>
      <x v="2"/>
    </i>
    <i>
      <x v="3"/>
    </i>
    <i>
      <x v="4"/>
    </i>
    <i t="grand">
      <x/>
    </i>
  </rowItems>
  <colItems count="1">
    <i/>
  </colItems>
  <dataFields count="1">
    <dataField name="Count of TX ID" fld="0" subtotal="count"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08DD59-C462-43BC-BC7D-392923B94B65}" name="Avg delivery days" cacheId="2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144:B148" firstHeaderRow="1" firstDataRow="1" firstDataCol="1"/>
  <pivotFields count="16">
    <pivotField dataField="1" compact="0" outline="0" showAll="0"/>
    <pivotField compact="0" outline="0" showAll="0"/>
    <pivotField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compact="0" outline="0" showAll="0"/>
    <pivotField compact="0" numFmtId="15" outline="0" showAll="0"/>
    <pivotField compact="0" numFmtId="15" outline="0" showAll="0"/>
    <pivotField compact="0" outline="0" showAll="0">
      <items count="5">
        <item x="0"/>
        <item x="2"/>
        <item x="1"/>
        <item x="3"/>
        <item t="default"/>
      </items>
    </pivotField>
    <pivotField compact="0" outline="0" showAll="0">
      <items count="6">
        <item x="0"/>
        <item x="3"/>
        <item x="4"/>
        <item x="2"/>
        <item x="1"/>
        <item t="default"/>
      </items>
    </pivotField>
    <pivotField compact="0" outline="0" showAll="0"/>
    <pivotField compact="0" outline="0" showAll="0">
      <items count="2">
        <item x="0"/>
        <item t="default"/>
      </items>
    </pivotField>
    <pivotField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axis="axisRow" compact="0" outline="0" showAll="0">
      <items count="6">
        <item x="0"/>
        <item x="1"/>
        <item x="2"/>
        <item x="3"/>
        <item x="4"/>
        <item t="default"/>
      </items>
    </pivotField>
    <pivotField compact="0" outline="0" showAll="0">
      <items count="14">
        <item x="0"/>
        <item x="1"/>
        <item x="2"/>
        <item x="3"/>
        <item x="4"/>
        <item x="5"/>
        <item x="6"/>
        <item x="7"/>
        <item x="8"/>
        <item x="9"/>
        <item x="10"/>
        <item x="11"/>
        <item x="12"/>
        <item t="default"/>
      </items>
    </pivotField>
    <pivotField compact="0" outline="0" showAll="0">
      <items count="5">
        <item x="2"/>
        <item x="1"/>
        <item x="3"/>
        <item x="0"/>
        <item t="default"/>
      </items>
    </pivotField>
    <pivotField compact="0" outline="0" showAll="0">
      <items count="8">
        <item x="0"/>
        <item x="1"/>
        <item x="2"/>
        <item x="4"/>
        <item x="3"/>
        <item x="5"/>
        <item x="6"/>
        <item t="default"/>
      </items>
    </pivotField>
  </pivotFields>
  <rowFields count="1">
    <field x="12"/>
  </rowFields>
  <rowItems count="4">
    <i>
      <x v="1"/>
    </i>
    <i>
      <x v="2"/>
    </i>
    <i>
      <x v="3"/>
    </i>
    <i t="grand">
      <x/>
    </i>
  </rowItems>
  <colItems count="1">
    <i/>
  </colItems>
  <dataFields count="1">
    <dataField name="Count of TX ID" fld="0"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155BEC-3C34-46FF-9C52-093BCAF221F8}" name="State wise tx's" cacheId="2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80:C140" firstHeaderRow="1" firstDataRow="1" firstDataCol="2"/>
  <pivotFields count="16">
    <pivotField dataField="1" compact="0" outline="0" showAll="0"/>
    <pivotField compact="0" outline="0" showAll="0"/>
    <pivotField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compact="0" outline="0" showAll="0"/>
    <pivotField compact="0" numFmtId="15" outline="0" showAll="0"/>
    <pivotField compact="0" numFmtId="15" outline="0" showAll="0"/>
    <pivotField compact="0" outline="0" showAll="0">
      <items count="5">
        <item x="0"/>
        <item x="2"/>
        <item x="1"/>
        <item x="3"/>
        <item t="default"/>
      </items>
    </pivotField>
    <pivotField compact="0" outline="0" showAll="0">
      <items count="6">
        <item x="0"/>
        <item x="3"/>
        <item x="4"/>
        <item x="2"/>
        <item x="1"/>
        <item t="default"/>
      </items>
    </pivotField>
    <pivotField compact="0" outline="0" showAll="0"/>
    <pivotField axis="axisRow" compact="0" outline="0" showAll="0">
      <items count="2">
        <item x="0"/>
        <item t="default"/>
      </items>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compact="0" outline="0" showAll="0">
      <items count="6">
        <item x="0"/>
        <item x="1"/>
        <item x="2"/>
        <item x="3"/>
        <item x="4"/>
        <item t="default"/>
      </items>
    </pivotField>
    <pivotField compact="0" outline="0" showAll="0">
      <items count="14">
        <item x="0"/>
        <item x="1"/>
        <item x="2"/>
        <item x="3"/>
        <item x="4"/>
        <item x="5"/>
        <item x="6"/>
        <item x="7"/>
        <item x="8"/>
        <item x="9"/>
        <item x="10"/>
        <item x="11"/>
        <item x="12"/>
        <item t="default"/>
      </items>
    </pivotField>
    <pivotField compact="0" outline="0" showAll="0">
      <items count="5">
        <item x="2"/>
        <item x="1"/>
        <item x="3"/>
        <item x="0"/>
        <item t="default"/>
      </items>
    </pivotField>
    <pivotField compact="0" outline="0" showAll="0">
      <items count="8">
        <item x="0"/>
        <item x="1"/>
        <item x="2"/>
        <item x="4"/>
        <item x="3"/>
        <item x="5"/>
        <item x="6"/>
        <item t="default"/>
      </items>
    </pivotField>
  </pivotFields>
  <rowFields count="2">
    <field x="10"/>
    <field x="11"/>
  </rowFields>
  <rowItems count="6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i t="grand">
      <x/>
    </i>
  </rowItems>
  <colItems count="1">
    <i/>
  </colItems>
  <dataFields count="1">
    <dataField name="Count of TX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21C4CB-E058-468E-997A-CD517FB7D777}" name="Gender split"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71:B76" firstHeaderRow="1" firstDataRow="1" firstDataCol="1"/>
  <pivotFields count="16">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items count="6">
        <item x="0"/>
        <item x="1"/>
        <item x="2"/>
        <item x="3"/>
        <item x="4"/>
        <item t="default"/>
      </items>
    </pivotField>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items count="8">
        <item x="0"/>
        <item x="1"/>
        <item x="2"/>
        <item x="4"/>
        <item x="3"/>
        <item x="5"/>
        <item x="6"/>
        <item t="default"/>
      </items>
    </pivotField>
  </pivotFields>
  <rowFields count="1">
    <field x="14"/>
  </rowFields>
  <rowItems count="5">
    <i>
      <x/>
    </i>
    <i>
      <x v="1"/>
    </i>
    <i>
      <x v="2"/>
    </i>
    <i>
      <x v="3"/>
    </i>
    <i t="grand">
      <x/>
    </i>
  </rowItems>
  <colItems count="1">
    <i/>
  </colItems>
  <dataFields count="1">
    <dataField name="Count of TX ID" fld="0" subtotal="count" baseField="0" baseItem="0"/>
  </dataFields>
  <chartFormats count="6">
    <chartFormat chart="10"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4" count="1" selected="0">
            <x v="0"/>
          </reference>
        </references>
      </pivotArea>
    </chartFormat>
    <chartFormat chart="15" format="8">
      <pivotArea type="data" outline="0" fieldPosition="0">
        <references count="2">
          <reference field="4294967294" count="1" selected="0">
            <x v="0"/>
          </reference>
          <reference field="14" count="1" selected="0">
            <x v="1"/>
          </reference>
        </references>
      </pivotArea>
    </chartFormat>
    <chartFormat chart="15" format="9">
      <pivotArea type="data" outline="0" fieldPosition="0">
        <references count="2">
          <reference field="4294967294" count="1" selected="0">
            <x v="0"/>
          </reference>
          <reference field="14" count="1" selected="0">
            <x v="2"/>
          </reference>
        </references>
      </pivotArea>
    </chartFormat>
    <chartFormat chart="15"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747F5C-D284-4AFE-B3CC-FC48FB688804}" name="Popular products"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6:F68" firstHeaderRow="1" firstDataRow="2" firstDataCol="1"/>
  <pivotFields count="16">
    <pivotField dataField="1"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items count="6">
        <item x="0"/>
        <item x="3"/>
        <item x="4"/>
        <item x="2"/>
        <item x="1"/>
        <item t="default"/>
      </items>
    </pivotField>
    <pivotField showAll="0"/>
    <pivotField showAll="0"/>
    <pivotField showAll="0"/>
    <pivotField showAll="0">
      <items count="6">
        <item x="0"/>
        <item x="1"/>
        <item x="2"/>
        <item x="3"/>
        <item x="4"/>
        <item t="default"/>
      </items>
    </pivotField>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8">
        <item x="0"/>
        <item x="1"/>
        <item x="2"/>
        <item x="4"/>
        <item x="3"/>
        <item x="5"/>
        <item x="6"/>
        <item t="default"/>
      </items>
    </pivotField>
  </pivotFields>
  <rowFields count="1">
    <field x="1"/>
  </rowFields>
  <rowItems count="21">
    <i>
      <x v="18"/>
    </i>
    <i>
      <x v="6"/>
    </i>
    <i>
      <x v="13"/>
    </i>
    <i>
      <x v="16"/>
    </i>
    <i>
      <x v="1"/>
    </i>
    <i>
      <x v="12"/>
    </i>
    <i>
      <x v="14"/>
    </i>
    <i>
      <x v="4"/>
    </i>
    <i>
      <x v="5"/>
    </i>
    <i>
      <x v="11"/>
    </i>
    <i>
      <x v="2"/>
    </i>
    <i>
      <x v="3"/>
    </i>
    <i>
      <x v="8"/>
    </i>
    <i>
      <x v="19"/>
    </i>
    <i>
      <x v="10"/>
    </i>
    <i>
      <x v="9"/>
    </i>
    <i>
      <x v="15"/>
    </i>
    <i>
      <x/>
    </i>
    <i>
      <x v="17"/>
    </i>
    <i>
      <x v="7"/>
    </i>
    <i t="grand">
      <x/>
    </i>
  </rowItems>
  <colFields count="1">
    <field x="14"/>
  </colFields>
  <colItems count="5">
    <i>
      <x/>
    </i>
    <i>
      <x v="1"/>
    </i>
    <i>
      <x v="2"/>
    </i>
    <i>
      <x v="3"/>
    </i>
    <i t="grand">
      <x/>
    </i>
  </colItems>
  <dataFields count="1">
    <dataField name="Count of TX ID" fld="0" subtotal="count" baseField="0" baseItem="0"/>
  </dataFields>
  <chartFormats count="4">
    <chartFormat chart="9" format="8" series="1">
      <pivotArea type="data" outline="0" fieldPosition="0">
        <references count="2">
          <reference field="4294967294" count="1" selected="0">
            <x v="0"/>
          </reference>
          <reference field="14" count="1" selected="0">
            <x v="0"/>
          </reference>
        </references>
      </pivotArea>
    </chartFormat>
    <chartFormat chart="9" format="9" series="1">
      <pivotArea type="data" outline="0" fieldPosition="0">
        <references count="2">
          <reference field="4294967294" count="1" selected="0">
            <x v="0"/>
          </reference>
          <reference field="14" count="1" selected="0">
            <x v="1"/>
          </reference>
        </references>
      </pivotArea>
    </chartFormat>
    <chartFormat chart="9" format="10" series="1">
      <pivotArea type="data" outline="0" fieldPosition="0">
        <references count="2">
          <reference field="4294967294" count="1" selected="0">
            <x v="0"/>
          </reference>
          <reference field="14" count="1" selected="0">
            <x v="2"/>
          </reference>
        </references>
      </pivotArea>
    </chartFormat>
    <chartFormat chart="9"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520F69-9695-43C5-B9D2-7958FF1C7ECC}" name="Quantity"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6:B44" firstHeaderRow="1" firstDataRow="1" firstDataCol="1"/>
  <pivotFields count="16">
    <pivotField dataField="1" subtotalTop="0" showAll="0" defaultSubtotal="0"/>
    <pivotField subtotalTop="0" showAll="0" defaultSubtotal="0"/>
    <pivotField subtotalTop="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pivotField>
    <pivotField subtotalTop="0" showAll="0" defaultSubtotal="0">
      <items count="934">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s>
    </pivotField>
    <pivotField subtotalTop="0" showAll="0" defaultSubtotal="0"/>
    <pivotField numFmtId="15" subtotalTop="0" showAll="0" defaultSubtotal="0"/>
    <pivotField numFmtId="15" subtotalTop="0" showAll="0" defaultSubtotal="0"/>
    <pivotField subtotalTop="0" showAll="0" defaultSubtotal="0">
      <items count="4">
        <item x="0"/>
        <item x="2"/>
        <item x="1"/>
        <item x="3"/>
      </items>
    </pivotField>
    <pivotField subtotalTop="0" showAll="0" defaultSubtotal="0">
      <items count="5">
        <item x="0"/>
        <item x="3"/>
        <item x="4"/>
        <item x="2"/>
        <item x="1"/>
      </items>
    </pivotField>
    <pivotField subtotalTop="0" showAll="0" defaultSubtotal="0"/>
    <pivotField subtotalTop="0" showAll="0" defaultSubtotal="0"/>
    <pivotField subtotalTop="0" showAll="0" defaultSubtotal="0"/>
    <pivotField subtotalTop="0" showAll="0" defaultSubtotal="0">
      <items count="5">
        <item x="0"/>
        <item x="1"/>
        <item x="2"/>
        <item x="3"/>
        <item x="4"/>
      </items>
    </pivotField>
    <pivotField subtotalTop="0" showAll="0" defaultSubtotal="0">
      <items count="13">
        <item x="0"/>
        <item x="1"/>
        <item x="2"/>
        <item x="3"/>
        <item x="4"/>
        <item x="5"/>
        <item x="6"/>
        <item x="7"/>
        <item x="8"/>
        <item x="9"/>
        <item x="10"/>
        <item x="11"/>
        <item x="12"/>
      </items>
    </pivotField>
    <pivotField subtotalTop="0" showAll="0" defaultSubtotal="0">
      <items count="4">
        <item x="2"/>
        <item x="1"/>
        <item x="3"/>
        <item x="0"/>
      </items>
    </pivotField>
    <pivotField axis="axisRow" subtotalTop="0" showAll="0" defaultSubtotal="0">
      <items count="7">
        <item x="0"/>
        <item x="1"/>
        <item x="2"/>
        <item x="4"/>
        <item x="3"/>
        <item n="6-15" x="5"/>
        <item n="more than 15" x="6"/>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1F786C-301D-488A-996C-2438311BFBDE}" name="Order mode"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7:F34" firstHeaderRow="1" firstDataRow="2" firstDataCol="1"/>
  <pivotFields count="16">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items count="5">
        <item x="0"/>
        <item x="2"/>
        <item x="1"/>
        <item x="3"/>
        <item t="default"/>
      </items>
    </pivotField>
    <pivotField axis="axisRow" showAll="0">
      <items count="6">
        <item x="0"/>
        <item x="3"/>
        <item x="4"/>
        <item x="2"/>
        <item x="1"/>
        <item t="default"/>
      </items>
    </pivotField>
    <pivotField showAll="0"/>
    <pivotField showAll="0"/>
    <pivotField showAll="0"/>
    <pivotField showAll="0">
      <items count="6">
        <item x="0"/>
        <item x="1"/>
        <item x="2"/>
        <item x="3"/>
        <item x="4"/>
        <item t="default"/>
      </items>
    </pivotField>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8">
        <item x="0"/>
        <item x="1"/>
        <item x="2"/>
        <item x="4"/>
        <item x="3"/>
        <item x="5"/>
        <item x="6"/>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Count of TX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DD3418-9C39-4852-9D28-E595298E30B8}" name="Weeknum Trend"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C25" firstHeaderRow="0" firstDataRow="1" firstDataCol="1"/>
  <pivotFields count="16">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pivotField numFmtId="15" showAll="0"/>
    <pivotField showAll="0"/>
    <pivotField showAll="0">
      <items count="6">
        <item x="0"/>
        <item x="3"/>
        <item x="4"/>
        <item x="2"/>
        <item x="1"/>
        <item t="default"/>
      </items>
    </pivotField>
    <pivotField showAll="0"/>
    <pivotField showAll="0"/>
    <pivotField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items count="6">
        <item x="0"/>
        <item x="1"/>
        <item x="2"/>
        <item x="3"/>
        <item x="4"/>
        <item t="default"/>
      </items>
    </pivotField>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Count of TX ID" fld="0" subtotal="count" baseField="0" baseItem="0"/>
    <dataField name="Sum of Amount" fld="4" baseField="0"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4D0B9F-99EC-4014-ADA4-808D646B2D0D}" name="KPIs"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6">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pivotField numFmtId="15" showAll="0"/>
    <pivotField showAll="0"/>
    <pivotField showAll="0">
      <items count="6">
        <item x="0"/>
        <item x="3"/>
        <item x="4"/>
        <item x="2"/>
        <item x="1"/>
        <item t="default"/>
      </items>
    </pivotField>
    <pivotField dataField="1" showAll="0"/>
    <pivotField showAll="0"/>
    <pivotField showAll="0"/>
    <pivotField dataField="1" showAll="0">
      <items count="6">
        <item x="0"/>
        <item x="1"/>
        <item x="2"/>
        <item x="3"/>
        <item x="4"/>
        <item t="default"/>
      </items>
    </pivotField>
    <pivotField showAll="0"/>
    <pivotField showAll="0">
      <items count="5">
        <item x="2"/>
        <item x="1"/>
        <item x="3"/>
        <item x="0"/>
        <item t="default"/>
      </items>
    </pivotField>
    <pivotField showAll="0">
      <items count="8">
        <item x="0"/>
        <item x="1"/>
        <item x="2"/>
        <item x="4"/>
        <item x="3"/>
        <item x="5"/>
        <item x="6"/>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1"/>
    <dataField name="Average of Days to Deliver"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7281FF91-4365-447F-9A04-7E38B8CF2392}" sourceName="Order Mode">
  <pivotTables>
    <pivotTable tabId="5" name="Weeknum Trend"/>
    <pivotTable tabId="5" name="Avg delivery days"/>
    <pivotTable tabId="5" name="Customer rating"/>
    <pivotTable tabId="5" name="Gender split"/>
    <pivotTable tabId="5" name="KPIs"/>
    <pivotTable tabId="5" name="Popular products"/>
    <pivotTable tabId="5" name="Quantity"/>
    <pivotTable tabId="5" name="State wise tx's"/>
  </pivotTables>
  <data>
    <tabular pivotCacheId="1687567546">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899D306C-C1BF-48B8-9A22-F255655B343E}" sourceName="Gender Value">
  <pivotTables>
    <pivotTable tabId="5" name="Weeknum Trend"/>
    <pivotTable tabId="5" name="Avg delivery days"/>
    <pivotTable tabId="5" name="Customer rating"/>
    <pivotTable tabId="5" name="KPIs"/>
    <pivotTable tabId="5" name="Quantity"/>
    <pivotTable tabId="5" name="State wise tx's"/>
  </pivotTables>
  <data>
    <tabular pivotCacheId="1687567546">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2" xr10:uid="{00573F44-8912-4864-B896-1DE60702B004}" cache="Slicer_Order_Mode" caption="Order Mode" style="SlicerStyleLight5" rowHeight="251883"/>
  <slicer name="Gender Value" xr10:uid="{38084D26-789A-4842-8AFE-6171E9D2B11D}" cache="Slicer_Gender_Value" caption="Gender Value" style="SlicerStyleLight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I3" sqref="I3"/>
    </sheetView>
  </sheetViews>
  <sheetFormatPr defaultRowHeight="14.5" x14ac:dyDescent="0.35"/>
  <cols>
    <col min="2" max="2" width="19.08984375" bestFit="1" customWidth="1"/>
    <col min="3" max="3" width="8.08984375" bestFit="1" customWidth="1"/>
    <col min="4" max="4" width="9.08984375" bestFit="1" customWidth="1"/>
    <col min="5" max="5" width="7.453125" bestFit="1" customWidth="1"/>
    <col min="6" max="6" width="10" bestFit="1" customWidth="1"/>
    <col min="7" max="7" width="9.453125" bestFit="1" customWidth="1"/>
    <col min="8" max="8" width="15.6328125" bestFit="1" customWidth="1"/>
    <col min="9" max="9" width="10.6328125" bestFit="1" customWidth="1"/>
    <col min="10" max="10" width="7.81640625" bestFit="1" customWidth="1"/>
    <col min="11" max="11" width="8.81640625" bestFit="1" customWidth="1"/>
    <col min="12" max="12" width="19.6328125" bestFit="1" customWidth="1"/>
    <col min="13" max="13" width="13.36328125" bestFit="1" customWidth="1"/>
    <col min="14" max="14" width="9.36328125" bestFit="1" customWidth="1"/>
    <col min="15" max="15" width="12.08984375" bestFit="1" customWidth="1"/>
  </cols>
  <sheetData>
    <row r="1" spans="1:15" x14ac:dyDescent="0.35">
      <c r="A1" t="s">
        <v>0</v>
      </c>
      <c r="B1" t="s">
        <v>1</v>
      </c>
      <c r="C1" t="s">
        <v>2</v>
      </c>
      <c r="D1" t="s">
        <v>3</v>
      </c>
      <c r="E1" t="s">
        <v>4</v>
      </c>
      <c r="F1" t="s">
        <v>5</v>
      </c>
      <c r="G1" t="s">
        <v>6</v>
      </c>
      <c r="H1" t="s">
        <v>7</v>
      </c>
      <c r="I1" t="s">
        <v>8</v>
      </c>
      <c r="J1" t="s">
        <v>9</v>
      </c>
      <c r="K1" t="s">
        <v>10</v>
      </c>
      <c r="L1" t="s">
        <v>11</v>
      </c>
      <c r="M1" s="2" t="s">
        <v>12</v>
      </c>
      <c r="N1" s="2" t="s">
        <v>13</v>
      </c>
      <c r="O1" s="2" t="s">
        <v>14</v>
      </c>
    </row>
    <row r="2" spans="1:15" x14ac:dyDescent="0.3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zoomScale="55" zoomScaleNormal="55" workbookViewId="0">
      <selection activeCell="O45" sqref="O45"/>
    </sheetView>
  </sheetViews>
  <sheetFormatPr defaultRowHeight="14.5" x14ac:dyDescent="0.35"/>
  <cols>
    <col min="1" max="1" width="3.36328125" customWidth="1"/>
    <col min="2" max="2" width="22.1796875" customWidth="1"/>
    <col min="3" max="4" width="3.36328125" customWidth="1"/>
    <col min="26" max="26" width="3.3632812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tabSelected="1" workbookViewId="0">
      <selection activeCell="B11" sqref="B11"/>
    </sheetView>
  </sheetViews>
  <sheetFormatPr defaultRowHeight="14.5" x14ac:dyDescent="0.35"/>
  <cols>
    <col min="1" max="1" width="3.6328125" customWidth="1"/>
    <col min="2" max="2" width="52.81640625" customWidth="1"/>
  </cols>
  <sheetData>
    <row r="2" spans="2:2" x14ac:dyDescent="0.35">
      <c r="B2" s="3" t="s">
        <v>2503</v>
      </c>
    </row>
    <row r="3" spans="2:2" x14ac:dyDescent="0.35">
      <c r="B3" s="4" t="s">
        <v>2504</v>
      </c>
    </row>
    <row r="4" spans="2:2" x14ac:dyDescent="0.35">
      <c r="B4" s="4" t="s">
        <v>2505</v>
      </c>
    </row>
    <row r="5" spans="2:2" x14ac:dyDescent="0.35">
      <c r="B5" s="4" t="s">
        <v>2506</v>
      </c>
    </row>
    <row r="6" spans="2:2" x14ac:dyDescent="0.35">
      <c r="B6" s="4" t="s">
        <v>2507</v>
      </c>
    </row>
    <row r="7" spans="2:2" x14ac:dyDescent="0.35">
      <c r="B7" s="4" t="s">
        <v>2508</v>
      </c>
    </row>
    <row r="10" spans="2:2" x14ac:dyDescent="0.35">
      <c r="B10" s="3" t="s">
        <v>2509</v>
      </c>
    </row>
    <row r="11" spans="2:2" x14ac:dyDescent="0.35">
      <c r="B11" t="s">
        <v>2510</v>
      </c>
    </row>
    <row r="12" spans="2:2" x14ac:dyDescent="0.35">
      <c r="B12" t="s">
        <v>2511</v>
      </c>
    </row>
    <row r="13" spans="2:2" x14ac:dyDescent="0.35">
      <c r="B13" t="s">
        <v>2512</v>
      </c>
    </row>
    <row r="14" spans="2:2" x14ac:dyDescent="0.35">
      <c r="B14" t="s">
        <v>2513</v>
      </c>
    </row>
    <row r="15" spans="2:2" x14ac:dyDescent="0.35">
      <c r="B15" t="s">
        <v>2514</v>
      </c>
    </row>
    <row r="16" spans="2:2" x14ac:dyDescent="0.35">
      <c r="B16" t="s">
        <v>2515</v>
      </c>
    </row>
    <row r="17" spans="2:2" x14ac:dyDescent="0.35">
      <c r="B17" t="s">
        <v>2516</v>
      </c>
    </row>
    <row r="18" spans="2:2" x14ac:dyDescent="0.35">
      <c r="B18" t="s">
        <v>2517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3:H24"/>
  <sheetViews>
    <sheetView workbookViewId="0">
      <selection activeCell="H12" sqref="H12"/>
    </sheetView>
  </sheetViews>
  <sheetFormatPr defaultRowHeight="14.5" x14ac:dyDescent="0.35"/>
  <cols>
    <col min="1" max="1" width="3.36328125" customWidth="1"/>
    <col min="8" max="8" width="37.36328125" customWidth="1"/>
  </cols>
  <sheetData>
    <row r="3" spans="2:8" x14ac:dyDescent="0.35">
      <c r="B3" t="s">
        <v>2518</v>
      </c>
    </row>
    <row r="4" spans="2:8" x14ac:dyDescent="0.35">
      <c r="H4" s="11"/>
    </row>
    <row r="5" spans="2:8" x14ac:dyDescent="0.35">
      <c r="B5" t="s">
        <v>2519</v>
      </c>
      <c r="H5" s="11"/>
    </row>
    <row r="6" spans="2:8" x14ac:dyDescent="0.35">
      <c r="B6" s="5"/>
      <c r="C6" t="s">
        <v>2520</v>
      </c>
      <c r="D6" t="s">
        <v>2526</v>
      </c>
    </row>
    <row r="7" spans="2:8" x14ac:dyDescent="0.35">
      <c r="B7" s="6"/>
      <c r="C7" t="s">
        <v>2521</v>
      </c>
      <c r="D7" t="s">
        <v>2527</v>
      </c>
    </row>
    <row r="8" spans="2:8" x14ac:dyDescent="0.35">
      <c r="B8" s="7"/>
      <c r="C8" t="s">
        <v>2522</v>
      </c>
      <c r="D8" t="s">
        <v>2528</v>
      </c>
    </row>
    <row r="9" spans="2:8" x14ac:dyDescent="0.35">
      <c r="B9" s="8"/>
      <c r="C9" t="s">
        <v>2523</v>
      </c>
      <c r="D9" t="s">
        <v>2529</v>
      </c>
    </row>
    <row r="10" spans="2:8" x14ac:dyDescent="0.35">
      <c r="B10" s="9"/>
      <c r="C10" t="s">
        <v>2524</v>
      </c>
      <c r="D10" t="s">
        <v>2530</v>
      </c>
    </row>
    <row r="11" spans="2:8" x14ac:dyDescent="0.35">
      <c r="B11" s="2"/>
      <c r="C11" t="s">
        <v>2525</v>
      </c>
      <c r="D11" t="s">
        <v>2531</v>
      </c>
    </row>
    <row r="13" spans="2:8" x14ac:dyDescent="0.35">
      <c r="B13" t="s">
        <v>2532</v>
      </c>
    </row>
    <row r="14" spans="2:8" x14ac:dyDescent="0.35">
      <c r="B14" t="s">
        <v>2533</v>
      </c>
      <c r="C14" t="s">
        <v>2538</v>
      </c>
    </row>
    <row r="15" spans="2:8" x14ac:dyDescent="0.35">
      <c r="B15" t="s">
        <v>2534</v>
      </c>
      <c r="C15" t="s">
        <v>2</v>
      </c>
    </row>
    <row r="16" spans="2:8" x14ac:dyDescent="0.35">
      <c r="B16" t="s">
        <v>2535</v>
      </c>
      <c r="C16" t="s">
        <v>4</v>
      </c>
    </row>
    <row r="17" spans="2:3" x14ac:dyDescent="0.35">
      <c r="B17" t="s">
        <v>2536</v>
      </c>
      <c r="C17" t="s">
        <v>2539</v>
      </c>
    </row>
    <row r="18" spans="2:3" x14ac:dyDescent="0.35">
      <c r="B18" t="s">
        <v>2537</v>
      </c>
      <c r="C18" t="s">
        <v>2540</v>
      </c>
    </row>
    <row r="21" spans="2:3" x14ac:dyDescent="0.35">
      <c r="B21" t="s">
        <v>2541</v>
      </c>
    </row>
    <row r="22" spans="2:3" x14ac:dyDescent="0.35">
      <c r="B22" t="s">
        <v>2542</v>
      </c>
      <c r="C22" t="s">
        <v>2543</v>
      </c>
    </row>
    <row r="23" spans="2:3" x14ac:dyDescent="0.35">
      <c r="B23" t="s">
        <v>2544</v>
      </c>
      <c r="C23" t="s">
        <v>2545</v>
      </c>
    </row>
    <row r="24" spans="2:3" x14ac:dyDescent="0.35">
      <c r="B24" s="10" t="s">
        <v>2546</v>
      </c>
      <c r="C24" t="s">
        <v>2547</v>
      </c>
    </row>
  </sheetData>
  <phoneticPr fontId="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3EB86-227E-4484-B1B5-6E5ED1A390F5}">
  <dimension ref="A3:L158"/>
  <sheetViews>
    <sheetView topLeftCell="A96" workbookViewId="0">
      <selection activeCell="S55" sqref="S55"/>
    </sheetView>
  </sheetViews>
  <sheetFormatPr defaultRowHeight="14.5" x14ac:dyDescent="0.35"/>
  <cols>
    <col min="1" max="1" width="12.453125" bestFit="1" customWidth="1"/>
    <col min="2" max="2" width="19.81640625" bestFit="1" customWidth="1"/>
    <col min="3" max="3" width="12.453125" bestFit="1" customWidth="1"/>
    <col min="4" max="4" width="16.81640625" bestFit="1" customWidth="1"/>
    <col min="5" max="5" width="22.36328125" bestFit="1" customWidth="1"/>
    <col min="6" max="6" width="10.36328125" bestFit="1" customWidth="1"/>
    <col min="8" max="8" width="11.453125" bestFit="1" customWidth="1"/>
  </cols>
  <sheetData>
    <row r="3" spans="1:11" x14ac:dyDescent="0.35">
      <c r="A3" t="s">
        <v>2548</v>
      </c>
      <c r="B3" t="s">
        <v>2549</v>
      </c>
      <c r="C3" t="s">
        <v>2550</v>
      </c>
      <c r="D3" t="s">
        <v>2551</v>
      </c>
      <c r="E3" t="s">
        <v>2552</v>
      </c>
    </row>
    <row r="4" spans="1:11" x14ac:dyDescent="0.35">
      <c r="A4" s="12">
        <v>2400</v>
      </c>
      <c r="B4" s="12">
        <v>11997</v>
      </c>
      <c r="C4" s="12">
        <v>649019.80000000144</v>
      </c>
      <c r="D4" s="12">
        <v>3.9620833333333332</v>
      </c>
      <c r="E4" s="12">
        <v>2.3424999999999998</v>
      </c>
    </row>
    <row r="5" spans="1:11" x14ac:dyDescent="0.35">
      <c r="A5" s="12"/>
      <c r="B5" s="12"/>
      <c r="C5" s="12"/>
      <c r="D5" s="12"/>
      <c r="E5" s="12"/>
    </row>
    <row r="6" spans="1:11" x14ac:dyDescent="0.35">
      <c r="A6" s="12"/>
      <c r="B6" s="12"/>
      <c r="C6" s="12"/>
      <c r="D6" s="12"/>
      <c r="E6" s="12"/>
    </row>
    <row r="7" spans="1:11" x14ac:dyDescent="0.35">
      <c r="A7" t="s">
        <v>2504</v>
      </c>
      <c r="B7" t="s">
        <v>2505</v>
      </c>
      <c r="C7" t="s">
        <v>2506</v>
      </c>
      <c r="D7" t="s">
        <v>2553</v>
      </c>
      <c r="E7" t="s">
        <v>2554</v>
      </c>
    </row>
    <row r="8" spans="1:11" x14ac:dyDescent="0.35">
      <c r="A8" t="str">
        <f>TEXT(A4,"#,##")</f>
        <v>2,400</v>
      </c>
      <c r="B8" t="str">
        <f>TEXT(B4,"#,##")</f>
        <v>11,997</v>
      </c>
      <c r="C8" s="15">
        <f>C4</f>
        <v>649019.80000000144</v>
      </c>
      <c r="D8" s="14">
        <f>D4</f>
        <v>3.9620833333333332</v>
      </c>
      <c r="E8" s="16">
        <f>E4</f>
        <v>2.3424999999999998</v>
      </c>
    </row>
    <row r="9" spans="1:11" x14ac:dyDescent="0.35">
      <c r="K9" t="str">
        <f>$A$8</f>
        <v>2,400</v>
      </c>
    </row>
    <row r="11" spans="1:11" x14ac:dyDescent="0.35">
      <c r="A11" s="17" t="s">
        <v>2555</v>
      </c>
      <c r="B11" t="s">
        <v>2548</v>
      </c>
      <c r="C11" t="s">
        <v>2550</v>
      </c>
    </row>
    <row r="12" spans="1:11" x14ac:dyDescent="0.35">
      <c r="A12" s="18">
        <v>1</v>
      </c>
      <c r="B12" s="12">
        <v>101</v>
      </c>
      <c r="C12" s="12">
        <v>32413.300000000003</v>
      </c>
    </row>
    <row r="13" spans="1:11" x14ac:dyDescent="0.35">
      <c r="A13" s="18">
        <v>2</v>
      </c>
      <c r="B13" s="12">
        <v>155</v>
      </c>
      <c r="C13" s="12">
        <v>49562.999999999993</v>
      </c>
    </row>
    <row r="14" spans="1:11" x14ac:dyDescent="0.35">
      <c r="A14" s="18">
        <v>3</v>
      </c>
      <c r="B14" s="12">
        <v>151</v>
      </c>
      <c r="C14" s="12">
        <v>41700.400000000016</v>
      </c>
    </row>
    <row r="15" spans="1:11" x14ac:dyDescent="0.35">
      <c r="A15" s="18">
        <v>4</v>
      </c>
      <c r="B15" s="12">
        <v>175</v>
      </c>
      <c r="C15" s="12">
        <v>46782.599999999984</v>
      </c>
    </row>
    <row r="16" spans="1:11" x14ac:dyDescent="0.35">
      <c r="A16" s="18">
        <v>5</v>
      </c>
      <c r="B16" s="12">
        <v>162</v>
      </c>
      <c r="C16" s="12">
        <v>42676.100000000006</v>
      </c>
    </row>
    <row r="17" spans="1:12" x14ac:dyDescent="0.35">
      <c r="A17" s="18">
        <v>6</v>
      </c>
      <c r="B17" s="12">
        <v>240</v>
      </c>
      <c r="C17" s="12">
        <v>62910.7</v>
      </c>
    </row>
    <row r="18" spans="1:12" x14ac:dyDescent="0.35">
      <c r="A18" s="18">
        <v>7</v>
      </c>
      <c r="B18" s="12">
        <v>191</v>
      </c>
      <c r="C18" s="12">
        <v>50332.200000000004</v>
      </c>
    </row>
    <row r="19" spans="1:12" x14ac:dyDescent="0.35">
      <c r="A19" s="18">
        <v>8</v>
      </c>
      <c r="B19" s="12">
        <v>236</v>
      </c>
      <c r="C19" s="12">
        <v>58760.599999999977</v>
      </c>
    </row>
    <row r="20" spans="1:12" x14ac:dyDescent="0.35">
      <c r="A20" s="18">
        <v>9</v>
      </c>
      <c r="B20" s="12">
        <v>202</v>
      </c>
      <c r="C20" s="12">
        <v>52017.299999999996</v>
      </c>
    </row>
    <row r="21" spans="1:12" x14ac:dyDescent="0.35">
      <c r="A21" s="18">
        <v>10</v>
      </c>
      <c r="B21" s="12">
        <v>214</v>
      </c>
      <c r="C21" s="12">
        <v>64915.700000000033</v>
      </c>
    </row>
    <row r="22" spans="1:12" x14ac:dyDescent="0.35">
      <c r="A22" s="18">
        <v>11</v>
      </c>
      <c r="B22" s="12">
        <v>189</v>
      </c>
      <c r="C22" s="12">
        <v>45943.80000000001</v>
      </c>
    </row>
    <row r="23" spans="1:12" x14ac:dyDescent="0.35">
      <c r="A23" s="18">
        <v>12</v>
      </c>
      <c r="B23" s="12">
        <v>200</v>
      </c>
      <c r="C23" s="12">
        <v>55077.900000000031</v>
      </c>
    </row>
    <row r="24" spans="1:12" x14ac:dyDescent="0.35">
      <c r="A24" s="18">
        <v>13</v>
      </c>
      <c r="B24" s="12">
        <v>184</v>
      </c>
      <c r="C24" s="12">
        <v>45926.19999999999</v>
      </c>
    </row>
    <row r="25" spans="1:12" x14ac:dyDescent="0.35">
      <c r="A25" s="18" t="s">
        <v>2556</v>
      </c>
      <c r="B25" s="12">
        <v>2400</v>
      </c>
      <c r="C25" s="12">
        <v>649019.80000000144</v>
      </c>
    </row>
    <row r="27" spans="1:12" x14ac:dyDescent="0.35">
      <c r="A27" s="17" t="s">
        <v>2548</v>
      </c>
      <c r="B27" s="17" t="s">
        <v>2557</v>
      </c>
    </row>
    <row r="28" spans="1:12" x14ac:dyDescent="0.35">
      <c r="A28" s="17" t="s">
        <v>2555</v>
      </c>
      <c r="B28" t="s">
        <v>2558</v>
      </c>
      <c r="C28" t="s">
        <v>2559</v>
      </c>
      <c r="D28" t="s">
        <v>2560</v>
      </c>
      <c r="E28" t="s">
        <v>2561</v>
      </c>
      <c r="F28" t="s">
        <v>2556</v>
      </c>
      <c r="I28" s="20" t="str">
        <f>B28</f>
        <v>Female</v>
      </c>
      <c r="J28" s="20" t="str">
        <f t="shared" ref="J28:K28" si="0">C28</f>
        <v>Male</v>
      </c>
      <c r="K28" s="20" t="str">
        <f t="shared" si="0"/>
        <v>Other</v>
      </c>
      <c r="L28" s="20" t="str">
        <f>E28</f>
        <v>Unknown</v>
      </c>
    </row>
    <row r="29" spans="1:12" ht="16" x14ac:dyDescent="0.4">
      <c r="A29" s="18" t="s">
        <v>18</v>
      </c>
      <c r="B29" s="12">
        <v>456</v>
      </c>
      <c r="C29" s="12">
        <v>335</v>
      </c>
      <c r="D29" s="12">
        <v>28</v>
      </c>
      <c r="E29" s="12">
        <v>49</v>
      </c>
      <c r="F29" s="12">
        <v>868</v>
      </c>
      <c r="H29" s="21" t="str">
        <f>A29</f>
        <v>App</v>
      </c>
      <c r="I29" s="18">
        <f t="shared" ref="I29:L33" si="1">B29</f>
        <v>456</v>
      </c>
      <c r="J29" s="18">
        <f t="shared" si="1"/>
        <v>335</v>
      </c>
      <c r="K29" s="18">
        <f t="shared" si="1"/>
        <v>28</v>
      </c>
      <c r="L29" s="18">
        <f>E29</f>
        <v>49</v>
      </c>
    </row>
    <row r="30" spans="1:12" ht="16" x14ac:dyDescent="0.4">
      <c r="A30" s="18" t="s">
        <v>51</v>
      </c>
      <c r="B30" s="12">
        <v>119</v>
      </c>
      <c r="C30" s="12">
        <v>109</v>
      </c>
      <c r="D30" s="12">
        <v>4</v>
      </c>
      <c r="E30" s="12">
        <v>16</v>
      </c>
      <c r="F30" s="12">
        <v>248</v>
      </c>
      <c r="H30" s="21" t="str">
        <f t="shared" ref="H30:H33" si="2">A30</f>
        <v>Instagram</v>
      </c>
      <c r="I30" s="18">
        <f t="shared" si="1"/>
        <v>119</v>
      </c>
      <c r="J30" s="18">
        <f t="shared" si="1"/>
        <v>109</v>
      </c>
      <c r="K30" s="18">
        <f t="shared" si="1"/>
        <v>4</v>
      </c>
      <c r="L30" s="18">
        <f t="shared" si="1"/>
        <v>16</v>
      </c>
    </row>
    <row r="31" spans="1:12" ht="16" x14ac:dyDescent="0.4">
      <c r="A31" s="18" t="s">
        <v>70</v>
      </c>
      <c r="B31" s="12">
        <v>139</v>
      </c>
      <c r="C31" s="12">
        <v>101</v>
      </c>
      <c r="D31" s="12">
        <v>11</v>
      </c>
      <c r="E31" s="12">
        <v>11</v>
      </c>
      <c r="F31" s="12">
        <v>262</v>
      </c>
      <c r="H31" s="21" t="str">
        <f t="shared" si="2"/>
        <v>Partner App</v>
      </c>
      <c r="I31" s="18">
        <f t="shared" si="1"/>
        <v>139</v>
      </c>
      <c r="J31" s="18">
        <f t="shared" si="1"/>
        <v>101</v>
      </c>
      <c r="K31" s="18">
        <f t="shared" si="1"/>
        <v>11</v>
      </c>
      <c r="L31" s="18">
        <f t="shared" si="1"/>
        <v>11</v>
      </c>
    </row>
    <row r="32" spans="1:12" ht="16" x14ac:dyDescent="0.4">
      <c r="A32" s="18" t="s">
        <v>40</v>
      </c>
      <c r="B32" s="12">
        <v>226</v>
      </c>
      <c r="C32" s="12">
        <v>183</v>
      </c>
      <c r="D32" s="12">
        <v>16</v>
      </c>
      <c r="E32" s="12">
        <v>28</v>
      </c>
      <c r="F32" s="12">
        <v>453</v>
      </c>
      <c r="H32" s="21" t="str">
        <f t="shared" si="2"/>
        <v>Target.com</v>
      </c>
      <c r="I32" s="18">
        <f t="shared" si="1"/>
        <v>226</v>
      </c>
      <c r="J32" s="18">
        <f t="shared" si="1"/>
        <v>183</v>
      </c>
      <c r="K32" s="18">
        <f t="shared" si="1"/>
        <v>16</v>
      </c>
      <c r="L32" s="18">
        <f t="shared" si="1"/>
        <v>28</v>
      </c>
    </row>
    <row r="33" spans="1:12" ht="16" x14ac:dyDescent="0.4">
      <c r="A33" s="18" t="s">
        <v>35</v>
      </c>
      <c r="B33" s="12">
        <v>291</v>
      </c>
      <c r="C33" s="12">
        <v>231</v>
      </c>
      <c r="D33" s="12">
        <v>16</v>
      </c>
      <c r="E33" s="12">
        <v>31</v>
      </c>
      <c r="F33" s="12">
        <v>569</v>
      </c>
      <c r="H33" s="21" t="str">
        <f t="shared" si="2"/>
        <v>Website</v>
      </c>
      <c r="I33" s="18">
        <f t="shared" si="1"/>
        <v>291</v>
      </c>
      <c r="J33" s="18">
        <f t="shared" si="1"/>
        <v>231</v>
      </c>
      <c r="K33" s="18">
        <f t="shared" si="1"/>
        <v>16</v>
      </c>
      <c r="L33" s="18">
        <f t="shared" si="1"/>
        <v>31</v>
      </c>
    </row>
    <row r="34" spans="1:12" x14ac:dyDescent="0.35">
      <c r="A34" s="18" t="s">
        <v>2556</v>
      </c>
      <c r="B34" s="12">
        <v>1231</v>
      </c>
      <c r="C34" s="12">
        <v>959</v>
      </c>
      <c r="D34" s="12">
        <v>75</v>
      </c>
      <c r="E34" s="12">
        <v>135</v>
      </c>
      <c r="F34" s="12">
        <v>2400</v>
      </c>
    </row>
    <row r="36" spans="1:12" x14ac:dyDescent="0.35">
      <c r="A36" s="17" t="s">
        <v>2555</v>
      </c>
      <c r="B36" t="s">
        <v>2548</v>
      </c>
    </row>
    <row r="37" spans="1:12" x14ac:dyDescent="0.35">
      <c r="A37" s="18">
        <v>1</v>
      </c>
      <c r="B37" s="12">
        <v>397</v>
      </c>
    </row>
    <row r="38" spans="1:12" x14ac:dyDescent="0.35">
      <c r="A38" s="18">
        <v>2</v>
      </c>
      <c r="B38" s="12">
        <v>540</v>
      </c>
    </row>
    <row r="39" spans="1:12" x14ac:dyDescent="0.35">
      <c r="A39" s="18">
        <v>3</v>
      </c>
      <c r="B39" s="12">
        <v>375</v>
      </c>
    </row>
    <row r="40" spans="1:12" x14ac:dyDescent="0.35">
      <c r="A40" s="18">
        <v>4</v>
      </c>
      <c r="B40" s="12">
        <v>246</v>
      </c>
    </row>
    <row r="41" spans="1:12" x14ac:dyDescent="0.35">
      <c r="A41" s="18">
        <v>5</v>
      </c>
      <c r="B41" s="12">
        <v>195</v>
      </c>
    </row>
    <row r="42" spans="1:12" x14ac:dyDescent="0.35">
      <c r="A42" s="18" t="s">
        <v>2562</v>
      </c>
      <c r="B42" s="12">
        <v>539</v>
      </c>
    </row>
    <row r="43" spans="1:12" x14ac:dyDescent="0.35">
      <c r="A43" s="18" t="s">
        <v>2563</v>
      </c>
      <c r="B43" s="12">
        <v>108</v>
      </c>
    </row>
    <row r="44" spans="1:12" x14ac:dyDescent="0.35">
      <c r="A44" s="18" t="s">
        <v>2556</v>
      </c>
      <c r="B44" s="12">
        <v>2400</v>
      </c>
    </row>
    <row r="46" spans="1:12" x14ac:dyDescent="0.35">
      <c r="A46" s="17" t="s">
        <v>2548</v>
      </c>
      <c r="B46" s="17" t="s">
        <v>2557</v>
      </c>
    </row>
    <row r="47" spans="1:12" x14ac:dyDescent="0.35">
      <c r="A47" s="17" t="s">
        <v>2555</v>
      </c>
      <c r="B47" t="s">
        <v>2558</v>
      </c>
      <c r="C47" t="s">
        <v>2559</v>
      </c>
      <c r="D47" t="s">
        <v>2560</v>
      </c>
      <c r="E47" t="s">
        <v>2561</v>
      </c>
      <c r="F47" t="s">
        <v>2556</v>
      </c>
    </row>
    <row r="48" spans="1:12" x14ac:dyDescent="0.35">
      <c r="A48" s="18" t="s">
        <v>44</v>
      </c>
      <c r="B48" s="12">
        <v>151</v>
      </c>
      <c r="C48" s="12">
        <v>141</v>
      </c>
      <c r="D48" s="12">
        <v>15</v>
      </c>
      <c r="E48" s="12">
        <v>18</v>
      </c>
      <c r="F48" s="12">
        <v>325</v>
      </c>
    </row>
    <row r="49" spans="1:6" x14ac:dyDescent="0.35">
      <c r="A49" s="18" t="s">
        <v>39</v>
      </c>
      <c r="B49" s="12">
        <v>138</v>
      </c>
      <c r="C49" s="12">
        <v>114</v>
      </c>
      <c r="D49" s="12">
        <v>8</v>
      </c>
      <c r="E49" s="12">
        <v>26</v>
      </c>
      <c r="F49" s="12">
        <v>286</v>
      </c>
    </row>
    <row r="50" spans="1:6" x14ac:dyDescent="0.35">
      <c r="A50" s="18" t="s">
        <v>26</v>
      </c>
      <c r="B50" s="12">
        <v>139</v>
      </c>
      <c r="C50" s="12">
        <v>88</v>
      </c>
      <c r="D50" s="12">
        <v>6</v>
      </c>
      <c r="E50" s="12">
        <v>14</v>
      </c>
      <c r="F50" s="12">
        <v>247</v>
      </c>
    </row>
    <row r="51" spans="1:6" x14ac:dyDescent="0.35">
      <c r="A51" s="18" t="s">
        <v>22</v>
      </c>
      <c r="B51" s="12">
        <v>104</v>
      </c>
      <c r="C51" s="12">
        <v>69</v>
      </c>
      <c r="D51" s="12">
        <v>8</v>
      </c>
      <c r="E51" s="12">
        <v>6</v>
      </c>
      <c r="F51" s="12">
        <v>187</v>
      </c>
    </row>
    <row r="52" spans="1:6" x14ac:dyDescent="0.35">
      <c r="A52" s="18" t="s">
        <v>54</v>
      </c>
      <c r="B52" s="12">
        <v>85</v>
      </c>
      <c r="C52" s="12">
        <v>67</v>
      </c>
      <c r="D52" s="12">
        <v>3</v>
      </c>
      <c r="E52" s="12">
        <v>7</v>
      </c>
      <c r="F52" s="12">
        <v>162</v>
      </c>
    </row>
    <row r="53" spans="1:6" x14ac:dyDescent="0.35">
      <c r="A53" s="18" t="s">
        <v>16</v>
      </c>
      <c r="B53" s="12">
        <v>90</v>
      </c>
      <c r="C53" s="12">
        <v>60</v>
      </c>
      <c r="D53" s="12"/>
      <c r="E53" s="12">
        <v>5</v>
      </c>
      <c r="F53" s="12">
        <v>155</v>
      </c>
    </row>
    <row r="54" spans="1:6" x14ac:dyDescent="0.35">
      <c r="A54" s="18" t="s">
        <v>46</v>
      </c>
      <c r="B54" s="12">
        <v>87</v>
      </c>
      <c r="C54" s="12">
        <v>50</v>
      </c>
      <c r="D54" s="12">
        <v>5</v>
      </c>
      <c r="E54" s="12">
        <v>10</v>
      </c>
      <c r="F54" s="12">
        <v>152</v>
      </c>
    </row>
    <row r="55" spans="1:6" x14ac:dyDescent="0.35">
      <c r="A55" s="18" t="s">
        <v>32</v>
      </c>
      <c r="B55" s="12">
        <v>68</v>
      </c>
      <c r="C55" s="12">
        <v>51</v>
      </c>
      <c r="D55" s="12">
        <v>4</v>
      </c>
      <c r="E55" s="12">
        <v>5</v>
      </c>
      <c r="F55" s="12">
        <v>128</v>
      </c>
    </row>
    <row r="56" spans="1:6" x14ac:dyDescent="0.35">
      <c r="A56" s="18" t="s">
        <v>42</v>
      </c>
      <c r="B56" s="12">
        <v>63</v>
      </c>
      <c r="C56" s="12">
        <v>50</v>
      </c>
      <c r="D56" s="12">
        <v>2</v>
      </c>
      <c r="E56" s="12">
        <v>3</v>
      </c>
      <c r="F56" s="12">
        <v>118</v>
      </c>
    </row>
    <row r="57" spans="1:6" x14ac:dyDescent="0.35">
      <c r="A57" s="18" t="s">
        <v>37</v>
      </c>
      <c r="B57" s="12">
        <v>53</v>
      </c>
      <c r="C57" s="12">
        <v>48</v>
      </c>
      <c r="D57" s="12">
        <v>4</v>
      </c>
      <c r="E57" s="12">
        <v>6</v>
      </c>
      <c r="F57" s="12">
        <v>111</v>
      </c>
    </row>
    <row r="58" spans="1:6" x14ac:dyDescent="0.35">
      <c r="A58" s="18" t="s">
        <v>69</v>
      </c>
      <c r="B58" s="12">
        <v>52</v>
      </c>
      <c r="C58" s="12">
        <v>27</v>
      </c>
      <c r="D58" s="12">
        <v>5</v>
      </c>
      <c r="E58" s="12">
        <v>6</v>
      </c>
      <c r="F58" s="12">
        <v>90</v>
      </c>
    </row>
    <row r="59" spans="1:6" x14ac:dyDescent="0.35">
      <c r="A59" s="18" t="s">
        <v>123</v>
      </c>
      <c r="B59" s="12">
        <v>28</v>
      </c>
      <c r="C59" s="12">
        <v>39</v>
      </c>
      <c r="D59" s="12">
        <v>5</v>
      </c>
      <c r="E59" s="12">
        <v>4</v>
      </c>
      <c r="F59" s="12">
        <v>76</v>
      </c>
    </row>
    <row r="60" spans="1:6" x14ac:dyDescent="0.35">
      <c r="A60" s="18" t="s">
        <v>146</v>
      </c>
      <c r="B60" s="12">
        <v>21</v>
      </c>
      <c r="C60" s="12">
        <v>37</v>
      </c>
      <c r="D60" s="12">
        <v>2</v>
      </c>
      <c r="E60" s="12">
        <v>9</v>
      </c>
      <c r="F60" s="12">
        <v>69</v>
      </c>
    </row>
    <row r="61" spans="1:6" x14ac:dyDescent="0.35">
      <c r="A61" s="18" t="s">
        <v>30</v>
      </c>
      <c r="B61" s="12">
        <v>31</v>
      </c>
      <c r="C61" s="12">
        <v>24</v>
      </c>
      <c r="D61" s="12">
        <v>1</v>
      </c>
      <c r="E61" s="12">
        <v>6</v>
      </c>
      <c r="F61" s="12">
        <v>62</v>
      </c>
    </row>
    <row r="62" spans="1:6" x14ac:dyDescent="0.35">
      <c r="A62" s="18" t="s">
        <v>135</v>
      </c>
      <c r="B62" s="12">
        <v>29</v>
      </c>
      <c r="C62" s="12">
        <v>18</v>
      </c>
      <c r="D62" s="12">
        <v>1</v>
      </c>
      <c r="E62" s="12">
        <v>4</v>
      </c>
      <c r="F62" s="12">
        <v>52</v>
      </c>
    </row>
    <row r="63" spans="1:6" x14ac:dyDescent="0.35">
      <c r="A63" s="18" t="s">
        <v>67</v>
      </c>
      <c r="B63" s="12">
        <v>32</v>
      </c>
      <c r="C63" s="12">
        <v>17</v>
      </c>
      <c r="D63" s="12">
        <v>1</v>
      </c>
      <c r="E63" s="12"/>
      <c r="F63" s="12">
        <v>50</v>
      </c>
    </row>
    <row r="64" spans="1:6" x14ac:dyDescent="0.35">
      <c r="A64" s="18" t="s">
        <v>128</v>
      </c>
      <c r="B64" s="12">
        <v>24</v>
      </c>
      <c r="C64" s="12">
        <v>17</v>
      </c>
      <c r="D64" s="12">
        <v>1</v>
      </c>
      <c r="E64" s="12">
        <v>3</v>
      </c>
      <c r="F64" s="12">
        <v>45</v>
      </c>
    </row>
    <row r="65" spans="1:7" x14ac:dyDescent="0.35">
      <c r="A65" s="18" t="s">
        <v>81</v>
      </c>
      <c r="B65" s="12">
        <v>14</v>
      </c>
      <c r="C65" s="12">
        <v>19</v>
      </c>
      <c r="D65" s="12">
        <v>1</v>
      </c>
      <c r="E65" s="12">
        <v>1</v>
      </c>
      <c r="F65" s="12">
        <v>35</v>
      </c>
    </row>
    <row r="66" spans="1:7" x14ac:dyDescent="0.35">
      <c r="A66" s="18" t="s">
        <v>76</v>
      </c>
      <c r="B66" s="12">
        <v>14</v>
      </c>
      <c r="C66" s="12">
        <v>16</v>
      </c>
      <c r="D66" s="12">
        <v>1</v>
      </c>
      <c r="E66" s="12">
        <v>2</v>
      </c>
      <c r="F66" s="12">
        <v>33</v>
      </c>
    </row>
    <row r="67" spans="1:7" x14ac:dyDescent="0.35">
      <c r="A67" s="18" t="s">
        <v>171</v>
      </c>
      <c r="B67" s="12">
        <v>8</v>
      </c>
      <c r="C67" s="12">
        <v>7</v>
      </c>
      <c r="D67" s="12">
        <v>2</v>
      </c>
      <c r="E67" s="12"/>
      <c r="F67" s="12">
        <v>17</v>
      </c>
    </row>
    <row r="68" spans="1:7" x14ac:dyDescent="0.35">
      <c r="A68" s="18" t="s">
        <v>2556</v>
      </c>
      <c r="B68" s="12">
        <v>1231</v>
      </c>
      <c r="C68" s="12">
        <v>959</v>
      </c>
      <c r="D68" s="12">
        <v>75</v>
      </c>
      <c r="E68" s="12">
        <v>135</v>
      </c>
      <c r="F68" s="12">
        <v>2400</v>
      </c>
    </row>
    <row r="71" spans="1:7" x14ac:dyDescent="0.35">
      <c r="A71" s="17" t="s">
        <v>2555</v>
      </c>
      <c r="B71" t="s">
        <v>2548</v>
      </c>
    </row>
    <row r="72" spans="1:7" x14ac:dyDescent="0.35">
      <c r="A72" s="18" t="s">
        <v>2558</v>
      </c>
      <c r="B72" s="12">
        <v>1231</v>
      </c>
    </row>
    <row r="73" spans="1:7" x14ac:dyDescent="0.35">
      <c r="A73" s="18" t="s">
        <v>2559</v>
      </c>
      <c r="B73" s="12">
        <v>959</v>
      </c>
    </row>
    <row r="74" spans="1:7" x14ac:dyDescent="0.35">
      <c r="A74" s="18" t="s">
        <v>2560</v>
      </c>
      <c r="B74" s="12">
        <v>75</v>
      </c>
    </row>
    <row r="75" spans="1:7" x14ac:dyDescent="0.35">
      <c r="A75" s="18" t="s">
        <v>2561</v>
      </c>
      <c r="B75" s="12">
        <v>135</v>
      </c>
    </row>
    <row r="76" spans="1:7" x14ac:dyDescent="0.35">
      <c r="A76" s="18" t="s">
        <v>2556</v>
      </c>
      <c r="B76" s="12">
        <v>2400</v>
      </c>
    </row>
    <row r="80" spans="1:7" x14ac:dyDescent="0.35">
      <c r="A80" s="17" t="s">
        <v>10</v>
      </c>
      <c r="B80" s="17" t="s">
        <v>11</v>
      </c>
      <c r="C80" t="s">
        <v>2548</v>
      </c>
      <c r="E80" s="13" t="s">
        <v>10</v>
      </c>
      <c r="F80" s="13" t="s">
        <v>11</v>
      </c>
      <c r="G80" s="13" t="s">
        <v>2548</v>
      </c>
    </row>
    <row r="81" spans="1:7" x14ac:dyDescent="0.35">
      <c r="A81" t="s">
        <v>19</v>
      </c>
      <c r="B81" t="s">
        <v>115</v>
      </c>
      <c r="C81" s="12">
        <v>132</v>
      </c>
      <c r="E81" s="19" t="s">
        <v>19</v>
      </c>
      <c r="F81" t="s">
        <v>115</v>
      </c>
      <c r="G81" s="12">
        <v>132</v>
      </c>
    </row>
    <row r="82" spans="1:7" x14ac:dyDescent="0.35">
      <c r="B82" t="s">
        <v>20</v>
      </c>
      <c r="C82" s="12">
        <v>1</v>
      </c>
      <c r="E82" s="19" t="s">
        <v>19</v>
      </c>
      <c r="F82" t="s">
        <v>20</v>
      </c>
      <c r="G82" s="12">
        <v>1</v>
      </c>
    </row>
    <row r="83" spans="1:7" x14ac:dyDescent="0.35">
      <c r="B83" t="s">
        <v>641</v>
      </c>
      <c r="C83" s="12">
        <v>4</v>
      </c>
      <c r="E83" s="19" t="s">
        <v>19</v>
      </c>
      <c r="F83" t="s">
        <v>641</v>
      </c>
      <c r="G83" s="12">
        <v>4</v>
      </c>
    </row>
    <row r="84" spans="1:7" x14ac:dyDescent="0.35">
      <c r="B84" t="s">
        <v>967</v>
      </c>
      <c r="C84" s="12">
        <v>5</v>
      </c>
      <c r="E84" s="19" t="s">
        <v>19</v>
      </c>
      <c r="F84" t="s">
        <v>967</v>
      </c>
      <c r="G84" s="12">
        <v>5</v>
      </c>
    </row>
    <row r="85" spans="1:7" x14ac:dyDescent="0.35">
      <c r="B85" t="s">
        <v>84</v>
      </c>
      <c r="C85" s="12">
        <v>2</v>
      </c>
      <c r="E85" s="19" t="s">
        <v>19</v>
      </c>
      <c r="F85" t="s">
        <v>84</v>
      </c>
      <c r="G85" s="12">
        <v>2</v>
      </c>
    </row>
    <row r="86" spans="1:7" x14ac:dyDescent="0.35">
      <c r="B86" t="s">
        <v>1383</v>
      </c>
      <c r="C86" s="12">
        <v>2</v>
      </c>
      <c r="E86" s="19" t="s">
        <v>19</v>
      </c>
      <c r="F86" t="s">
        <v>1383</v>
      </c>
      <c r="G86" s="12">
        <v>2</v>
      </c>
    </row>
    <row r="87" spans="1:7" x14ac:dyDescent="0.35">
      <c r="B87" t="s">
        <v>24</v>
      </c>
      <c r="C87" s="12">
        <v>83</v>
      </c>
      <c r="E87" s="19" t="s">
        <v>19</v>
      </c>
      <c r="F87" t="s">
        <v>24</v>
      </c>
      <c r="G87" s="12">
        <v>83</v>
      </c>
    </row>
    <row r="88" spans="1:7" x14ac:dyDescent="0.35">
      <c r="B88" t="s">
        <v>2204</v>
      </c>
      <c r="C88" s="12">
        <v>1</v>
      </c>
      <c r="E88" s="19" t="s">
        <v>19</v>
      </c>
      <c r="F88" t="s">
        <v>2204</v>
      </c>
      <c r="G88" s="12">
        <v>1</v>
      </c>
    </row>
    <row r="89" spans="1:7" x14ac:dyDescent="0.35">
      <c r="B89" t="s">
        <v>437</v>
      </c>
      <c r="C89" s="12">
        <v>6</v>
      </c>
      <c r="E89" s="19" t="s">
        <v>19</v>
      </c>
      <c r="F89" t="s">
        <v>437</v>
      </c>
      <c r="G89" s="12">
        <v>6</v>
      </c>
    </row>
    <row r="90" spans="1:7" x14ac:dyDescent="0.35">
      <c r="B90" t="s">
        <v>28</v>
      </c>
      <c r="C90" s="12">
        <v>52</v>
      </c>
      <c r="E90" s="19" t="s">
        <v>19</v>
      </c>
      <c r="F90" t="s">
        <v>28</v>
      </c>
      <c r="G90" s="12">
        <v>52</v>
      </c>
    </row>
    <row r="91" spans="1:7" x14ac:dyDescent="0.35">
      <c r="B91" t="s">
        <v>208</v>
      </c>
      <c r="C91" s="12">
        <v>3</v>
      </c>
      <c r="E91" s="19" t="s">
        <v>19</v>
      </c>
      <c r="F91" t="s">
        <v>208</v>
      </c>
      <c r="G91" s="12">
        <v>3</v>
      </c>
    </row>
    <row r="92" spans="1:7" x14ac:dyDescent="0.35">
      <c r="B92" t="s">
        <v>587</v>
      </c>
      <c r="C92" s="12">
        <v>12</v>
      </c>
      <c r="E92" s="19" t="s">
        <v>19</v>
      </c>
      <c r="F92" t="s">
        <v>587</v>
      </c>
      <c r="G92" s="12">
        <v>12</v>
      </c>
    </row>
    <row r="93" spans="1:7" x14ac:dyDescent="0.35">
      <c r="B93" t="s">
        <v>331</v>
      </c>
      <c r="C93" s="12">
        <v>10</v>
      </c>
      <c r="E93" s="19" t="s">
        <v>19</v>
      </c>
      <c r="F93" t="s">
        <v>331</v>
      </c>
      <c r="G93" s="12">
        <v>10</v>
      </c>
    </row>
    <row r="94" spans="1:7" x14ac:dyDescent="0.35">
      <c r="B94" t="s">
        <v>86</v>
      </c>
      <c r="C94" s="12">
        <v>2</v>
      </c>
      <c r="E94" s="19" t="s">
        <v>19</v>
      </c>
      <c r="F94" t="s">
        <v>86</v>
      </c>
      <c r="G94" s="12">
        <v>2</v>
      </c>
    </row>
    <row r="95" spans="1:7" x14ac:dyDescent="0.35">
      <c r="B95" t="s">
        <v>147</v>
      </c>
      <c r="C95" s="12">
        <v>56</v>
      </c>
      <c r="E95" s="19" t="s">
        <v>19</v>
      </c>
      <c r="F95" t="s">
        <v>147</v>
      </c>
      <c r="G95" s="12">
        <v>56</v>
      </c>
    </row>
    <row r="96" spans="1:7" x14ac:dyDescent="0.35">
      <c r="B96" t="s">
        <v>334</v>
      </c>
      <c r="C96" s="12">
        <v>14</v>
      </c>
      <c r="E96" s="19" t="s">
        <v>19</v>
      </c>
      <c r="F96" t="s">
        <v>334</v>
      </c>
      <c r="G96" s="12">
        <v>14</v>
      </c>
    </row>
    <row r="97" spans="2:7" x14ac:dyDescent="0.35">
      <c r="B97" t="s">
        <v>949</v>
      </c>
      <c r="C97" s="12">
        <v>6</v>
      </c>
      <c r="E97" s="19" t="s">
        <v>19</v>
      </c>
      <c r="F97" t="s">
        <v>949</v>
      </c>
      <c r="G97" s="12">
        <v>6</v>
      </c>
    </row>
    <row r="98" spans="2:7" x14ac:dyDescent="0.35">
      <c r="B98" t="s">
        <v>1426</v>
      </c>
      <c r="C98" s="12">
        <v>1</v>
      </c>
      <c r="E98" s="19" t="s">
        <v>19</v>
      </c>
      <c r="F98" t="s">
        <v>1426</v>
      </c>
      <c r="G98" s="12">
        <v>1</v>
      </c>
    </row>
    <row r="99" spans="2:7" x14ac:dyDescent="0.35">
      <c r="B99" t="s">
        <v>33</v>
      </c>
      <c r="C99" s="12">
        <v>781</v>
      </c>
      <c r="E99" s="19" t="s">
        <v>19</v>
      </c>
      <c r="F99" t="s">
        <v>33</v>
      </c>
      <c r="G99" s="12">
        <v>781</v>
      </c>
    </row>
    <row r="100" spans="2:7" x14ac:dyDescent="0.35">
      <c r="B100" t="s">
        <v>364</v>
      </c>
      <c r="C100" s="12">
        <v>10</v>
      </c>
      <c r="E100" s="19" t="s">
        <v>19</v>
      </c>
      <c r="F100" t="s">
        <v>364</v>
      </c>
      <c r="G100" s="12">
        <v>10</v>
      </c>
    </row>
    <row r="101" spans="2:7" x14ac:dyDescent="0.35">
      <c r="B101" t="s">
        <v>545</v>
      </c>
      <c r="C101" s="12">
        <v>8</v>
      </c>
      <c r="E101" s="19" t="s">
        <v>19</v>
      </c>
      <c r="F101" t="s">
        <v>545</v>
      </c>
      <c r="G101" s="12">
        <v>8</v>
      </c>
    </row>
    <row r="102" spans="2:7" x14ac:dyDescent="0.35">
      <c r="B102" t="s">
        <v>416</v>
      </c>
      <c r="C102" s="12">
        <v>2</v>
      </c>
      <c r="E102" s="19" t="s">
        <v>19</v>
      </c>
      <c r="F102" t="s">
        <v>416</v>
      </c>
      <c r="G102" s="12">
        <v>2</v>
      </c>
    </row>
    <row r="103" spans="2:7" x14ac:dyDescent="0.35">
      <c r="B103" t="s">
        <v>258</v>
      </c>
      <c r="C103" s="12">
        <v>3</v>
      </c>
      <c r="E103" s="19" t="s">
        <v>19</v>
      </c>
      <c r="F103" t="s">
        <v>258</v>
      </c>
      <c r="G103" s="12">
        <v>3</v>
      </c>
    </row>
    <row r="104" spans="2:7" x14ac:dyDescent="0.35">
      <c r="B104" t="s">
        <v>186</v>
      </c>
      <c r="C104" s="12">
        <v>15</v>
      </c>
      <c r="E104" s="19" t="s">
        <v>19</v>
      </c>
      <c r="F104" t="s">
        <v>186</v>
      </c>
      <c r="G104" s="12">
        <v>15</v>
      </c>
    </row>
    <row r="105" spans="2:7" x14ac:dyDescent="0.35">
      <c r="B105" t="s">
        <v>392</v>
      </c>
      <c r="C105" s="12">
        <v>1</v>
      </c>
      <c r="E105" s="19" t="s">
        <v>19</v>
      </c>
      <c r="F105" t="s">
        <v>392</v>
      </c>
      <c r="G105" s="12">
        <v>1</v>
      </c>
    </row>
    <row r="106" spans="2:7" x14ac:dyDescent="0.35">
      <c r="B106" t="s">
        <v>670</v>
      </c>
      <c r="C106" s="12">
        <v>1</v>
      </c>
      <c r="E106" s="19" t="s">
        <v>19</v>
      </c>
      <c r="F106" t="s">
        <v>670</v>
      </c>
      <c r="G106" s="12">
        <v>1</v>
      </c>
    </row>
    <row r="107" spans="2:7" x14ac:dyDescent="0.35">
      <c r="B107" t="s">
        <v>802</v>
      </c>
      <c r="C107" s="12">
        <v>5</v>
      </c>
      <c r="E107" s="19" t="s">
        <v>19</v>
      </c>
      <c r="F107" t="s">
        <v>802</v>
      </c>
      <c r="G107" s="12">
        <v>5</v>
      </c>
    </row>
    <row r="108" spans="2:7" x14ac:dyDescent="0.35">
      <c r="B108" t="s">
        <v>98</v>
      </c>
      <c r="C108" s="12">
        <v>12</v>
      </c>
      <c r="E108" s="19" t="s">
        <v>19</v>
      </c>
      <c r="F108" t="s">
        <v>98</v>
      </c>
      <c r="G108" s="12">
        <v>12</v>
      </c>
    </row>
    <row r="109" spans="2:7" x14ac:dyDescent="0.35">
      <c r="B109" t="s">
        <v>49</v>
      </c>
      <c r="C109" s="12">
        <v>8</v>
      </c>
      <c r="E109" s="19" t="s">
        <v>19</v>
      </c>
      <c r="F109" t="s">
        <v>49</v>
      </c>
      <c r="G109" s="12">
        <v>8</v>
      </c>
    </row>
    <row r="110" spans="2:7" x14ac:dyDescent="0.35">
      <c r="B110" t="s">
        <v>188</v>
      </c>
      <c r="C110" s="12">
        <v>32</v>
      </c>
      <c r="E110" s="19" t="s">
        <v>19</v>
      </c>
      <c r="F110" t="s">
        <v>188</v>
      </c>
      <c r="G110" s="12">
        <v>32</v>
      </c>
    </row>
    <row r="111" spans="2:7" x14ac:dyDescent="0.35">
      <c r="B111" t="s">
        <v>52</v>
      </c>
      <c r="C111" s="12">
        <v>22</v>
      </c>
      <c r="E111" s="19" t="s">
        <v>19</v>
      </c>
      <c r="F111" t="s">
        <v>52</v>
      </c>
      <c r="G111" s="12">
        <v>22</v>
      </c>
    </row>
    <row r="112" spans="2:7" x14ac:dyDescent="0.35">
      <c r="B112" t="s">
        <v>338</v>
      </c>
      <c r="C112" s="12">
        <v>2</v>
      </c>
      <c r="E112" s="19" t="s">
        <v>19</v>
      </c>
      <c r="F112" t="s">
        <v>338</v>
      </c>
      <c r="G112" s="12">
        <v>2</v>
      </c>
    </row>
    <row r="113" spans="2:7" x14ac:dyDescent="0.35">
      <c r="B113" t="s">
        <v>158</v>
      </c>
      <c r="C113" s="12">
        <v>26</v>
      </c>
      <c r="E113" s="19" t="s">
        <v>19</v>
      </c>
      <c r="F113" t="s">
        <v>158</v>
      </c>
      <c r="G113" s="12">
        <v>26</v>
      </c>
    </row>
    <row r="114" spans="2:7" x14ac:dyDescent="0.35">
      <c r="B114" t="s">
        <v>55</v>
      </c>
      <c r="C114" s="12">
        <v>162</v>
      </c>
      <c r="E114" s="19" t="s">
        <v>19</v>
      </c>
      <c r="F114" t="s">
        <v>55</v>
      </c>
      <c r="G114" s="12">
        <v>162</v>
      </c>
    </row>
    <row r="115" spans="2:7" x14ac:dyDescent="0.35">
      <c r="B115" t="s">
        <v>342</v>
      </c>
      <c r="C115" s="12">
        <v>6</v>
      </c>
      <c r="E115" s="19" t="s">
        <v>19</v>
      </c>
      <c r="F115" t="s">
        <v>342</v>
      </c>
      <c r="G115" s="12">
        <v>6</v>
      </c>
    </row>
    <row r="116" spans="2:7" x14ac:dyDescent="0.35">
      <c r="B116" t="s">
        <v>59</v>
      </c>
      <c r="C116" s="12">
        <v>67</v>
      </c>
      <c r="E116" s="19" t="s">
        <v>19</v>
      </c>
      <c r="F116" t="s">
        <v>59</v>
      </c>
      <c r="G116" s="12">
        <v>67</v>
      </c>
    </row>
    <row r="117" spans="2:7" x14ac:dyDescent="0.35">
      <c r="B117" t="s">
        <v>62</v>
      </c>
      <c r="C117" s="12">
        <v>330</v>
      </c>
      <c r="E117" s="19" t="s">
        <v>19</v>
      </c>
      <c r="F117" t="s">
        <v>62</v>
      </c>
      <c r="G117" s="12">
        <v>330</v>
      </c>
    </row>
    <row r="118" spans="2:7" x14ac:dyDescent="0.35">
      <c r="B118" t="s">
        <v>103</v>
      </c>
      <c r="C118" s="12">
        <v>58</v>
      </c>
      <c r="E118" s="19" t="s">
        <v>19</v>
      </c>
      <c r="F118" t="s">
        <v>103</v>
      </c>
      <c r="G118" s="12">
        <v>58</v>
      </c>
    </row>
    <row r="119" spans="2:7" x14ac:dyDescent="0.35">
      <c r="B119" t="s">
        <v>201</v>
      </c>
      <c r="C119" s="12">
        <v>17</v>
      </c>
      <c r="E119" s="19" t="s">
        <v>19</v>
      </c>
      <c r="F119" t="s">
        <v>201</v>
      </c>
      <c r="G119" s="12">
        <v>17</v>
      </c>
    </row>
    <row r="120" spans="2:7" x14ac:dyDescent="0.35">
      <c r="B120" t="s">
        <v>429</v>
      </c>
      <c r="C120" s="12">
        <v>3</v>
      </c>
      <c r="E120" s="19" t="s">
        <v>19</v>
      </c>
      <c r="F120" t="s">
        <v>429</v>
      </c>
      <c r="G120" s="12">
        <v>3</v>
      </c>
    </row>
    <row r="121" spans="2:7" x14ac:dyDescent="0.35">
      <c r="B121" t="s">
        <v>72</v>
      </c>
      <c r="C121" s="12">
        <v>67</v>
      </c>
      <c r="E121" s="19" t="s">
        <v>19</v>
      </c>
      <c r="F121" t="s">
        <v>72</v>
      </c>
      <c r="G121" s="12">
        <v>67</v>
      </c>
    </row>
    <row r="122" spans="2:7" x14ac:dyDescent="0.35">
      <c r="B122" t="s">
        <v>74</v>
      </c>
      <c r="C122" s="12">
        <v>27</v>
      </c>
      <c r="E122" s="19" t="s">
        <v>19</v>
      </c>
      <c r="F122" t="s">
        <v>74</v>
      </c>
      <c r="G122" s="12">
        <v>27</v>
      </c>
    </row>
    <row r="123" spans="2:7" x14ac:dyDescent="0.35">
      <c r="B123" t="s">
        <v>77</v>
      </c>
      <c r="C123" s="12">
        <v>135</v>
      </c>
      <c r="E123" s="19" t="s">
        <v>19</v>
      </c>
      <c r="F123" t="s">
        <v>77</v>
      </c>
      <c r="G123" s="12">
        <v>135</v>
      </c>
    </row>
    <row r="124" spans="2:7" x14ac:dyDescent="0.35">
      <c r="B124" t="s">
        <v>309</v>
      </c>
      <c r="C124" s="12">
        <v>6</v>
      </c>
      <c r="E124" s="19" t="s">
        <v>19</v>
      </c>
      <c r="F124" t="s">
        <v>309</v>
      </c>
      <c r="G124" s="12">
        <v>6</v>
      </c>
    </row>
    <row r="125" spans="2:7" x14ac:dyDescent="0.35">
      <c r="B125" t="s">
        <v>1116</v>
      </c>
      <c r="C125" s="12">
        <v>8</v>
      </c>
      <c r="E125" s="19" t="s">
        <v>19</v>
      </c>
      <c r="F125" t="s">
        <v>1116</v>
      </c>
      <c r="G125" s="12">
        <v>8</v>
      </c>
    </row>
    <row r="126" spans="2:7" x14ac:dyDescent="0.35">
      <c r="B126" t="s">
        <v>700</v>
      </c>
      <c r="C126" s="12">
        <v>1</v>
      </c>
      <c r="E126" s="19" t="s">
        <v>19</v>
      </c>
      <c r="F126" t="s">
        <v>700</v>
      </c>
      <c r="G126" s="12">
        <v>1</v>
      </c>
    </row>
    <row r="127" spans="2:7" x14ac:dyDescent="0.35">
      <c r="B127" t="s">
        <v>268</v>
      </c>
      <c r="C127" s="12">
        <v>4</v>
      </c>
      <c r="E127" s="19" t="s">
        <v>19</v>
      </c>
      <c r="F127" t="s">
        <v>268</v>
      </c>
      <c r="G127" s="12">
        <v>4</v>
      </c>
    </row>
    <row r="128" spans="2:7" x14ac:dyDescent="0.35">
      <c r="B128" t="s">
        <v>377</v>
      </c>
      <c r="C128" s="12">
        <v>5</v>
      </c>
      <c r="E128" s="19" t="s">
        <v>19</v>
      </c>
      <c r="F128" t="s">
        <v>377</v>
      </c>
      <c r="G128" s="12">
        <v>5</v>
      </c>
    </row>
    <row r="129" spans="1:7" x14ac:dyDescent="0.35">
      <c r="B129" t="s">
        <v>108</v>
      </c>
      <c r="C129" s="12">
        <v>44</v>
      </c>
      <c r="E129" s="19" t="s">
        <v>19</v>
      </c>
      <c r="F129" t="s">
        <v>108</v>
      </c>
      <c r="G129" s="12">
        <v>44</v>
      </c>
    </row>
    <row r="130" spans="1:7" x14ac:dyDescent="0.35">
      <c r="B130" t="s">
        <v>110</v>
      </c>
      <c r="C130" s="12">
        <v>51</v>
      </c>
      <c r="E130" s="19" t="s">
        <v>19</v>
      </c>
      <c r="F130" t="s">
        <v>110</v>
      </c>
      <c r="G130" s="12">
        <v>51</v>
      </c>
    </row>
    <row r="131" spans="1:7" x14ac:dyDescent="0.35">
      <c r="B131" t="s">
        <v>292</v>
      </c>
      <c r="C131" s="12">
        <v>7</v>
      </c>
      <c r="E131" s="19" t="s">
        <v>19</v>
      </c>
      <c r="F131" t="s">
        <v>292</v>
      </c>
      <c r="G131" s="12">
        <v>7</v>
      </c>
    </row>
    <row r="132" spans="1:7" x14ac:dyDescent="0.35">
      <c r="B132" t="s">
        <v>79</v>
      </c>
      <c r="C132" s="12">
        <v>2</v>
      </c>
      <c r="E132" s="19" t="s">
        <v>19</v>
      </c>
      <c r="F132" t="s">
        <v>79</v>
      </c>
      <c r="G132" s="12">
        <v>2</v>
      </c>
    </row>
    <row r="133" spans="1:7" x14ac:dyDescent="0.35">
      <c r="B133" t="s">
        <v>608</v>
      </c>
      <c r="C133" s="12">
        <v>2</v>
      </c>
      <c r="E133" s="19" t="s">
        <v>19</v>
      </c>
      <c r="F133" t="s">
        <v>608</v>
      </c>
      <c r="G133" s="12">
        <v>2</v>
      </c>
    </row>
    <row r="134" spans="1:7" x14ac:dyDescent="0.35">
      <c r="B134" t="s">
        <v>113</v>
      </c>
      <c r="C134" s="12">
        <v>25</v>
      </c>
      <c r="E134" s="19" t="s">
        <v>19</v>
      </c>
      <c r="F134" t="s">
        <v>113</v>
      </c>
      <c r="G134" s="12">
        <v>25</v>
      </c>
    </row>
    <row r="135" spans="1:7" x14ac:dyDescent="0.35">
      <c r="B135" t="s">
        <v>997</v>
      </c>
      <c r="C135" s="12">
        <v>5</v>
      </c>
      <c r="E135" s="19" t="s">
        <v>19</v>
      </c>
      <c r="F135" t="s">
        <v>997</v>
      </c>
      <c r="G135" s="12">
        <v>5</v>
      </c>
    </row>
    <row r="136" spans="1:7" x14ac:dyDescent="0.35">
      <c r="B136" t="s">
        <v>82</v>
      </c>
      <c r="C136" s="12">
        <v>42</v>
      </c>
      <c r="E136" s="19" t="s">
        <v>19</v>
      </c>
      <c r="F136" t="s">
        <v>82</v>
      </c>
      <c r="G136" s="12">
        <v>42</v>
      </c>
    </row>
    <row r="137" spans="1:7" x14ac:dyDescent="0.35">
      <c r="B137" t="s">
        <v>243</v>
      </c>
      <c r="C137" s="12">
        <v>5</v>
      </c>
      <c r="E137" s="19" t="s">
        <v>19</v>
      </c>
      <c r="F137" t="s">
        <v>243</v>
      </c>
      <c r="G137" s="12">
        <v>5</v>
      </c>
    </row>
    <row r="138" spans="1:7" x14ac:dyDescent="0.35">
      <c r="B138" t="s">
        <v>1911</v>
      </c>
      <c r="C138" s="12">
        <v>1</v>
      </c>
      <c r="E138" s="19" t="s">
        <v>19</v>
      </c>
      <c r="F138" t="s">
        <v>1911</v>
      </c>
      <c r="G138" s="12">
        <v>1</v>
      </c>
    </row>
    <row r="139" spans="1:7" x14ac:dyDescent="0.35">
      <c r="A139" t="s">
        <v>2564</v>
      </c>
      <c r="C139" s="12">
        <v>2400</v>
      </c>
      <c r="E139" s="22" t="s">
        <v>2564</v>
      </c>
      <c r="F139" s="22"/>
      <c r="G139" s="23">
        <v>2400</v>
      </c>
    </row>
    <row r="140" spans="1:7" x14ac:dyDescent="0.35">
      <c r="A140" t="s">
        <v>2556</v>
      </c>
      <c r="C140" s="12">
        <v>2400</v>
      </c>
    </row>
    <row r="144" spans="1:7" x14ac:dyDescent="0.35">
      <c r="A144" s="17" t="s">
        <v>12</v>
      </c>
      <c r="B144" t="s">
        <v>2548</v>
      </c>
    </row>
    <row r="145" spans="1:2" x14ac:dyDescent="0.35">
      <c r="A145" t="s">
        <v>2565</v>
      </c>
      <c r="B145" s="12">
        <v>2145</v>
      </c>
    </row>
    <row r="146" spans="1:2" x14ac:dyDescent="0.35">
      <c r="A146" t="s">
        <v>2566</v>
      </c>
      <c r="B146" s="12">
        <v>209</v>
      </c>
    </row>
    <row r="147" spans="1:2" x14ac:dyDescent="0.35">
      <c r="A147" t="s">
        <v>2567</v>
      </c>
      <c r="B147" s="12">
        <v>46</v>
      </c>
    </row>
    <row r="148" spans="1:2" x14ac:dyDescent="0.35">
      <c r="A148" t="s">
        <v>2556</v>
      </c>
      <c r="B148" s="12">
        <v>2400</v>
      </c>
    </row>
    <row r="152" spans="1:2" x14ac:dyDescent="0.35">
      <c r="A152" s="17" t="s">
        <v>9</v>
      </c>
      <c r="B152" t="s">
        <v>2548</v>
      </c>
    </row>
    <row r="153" spans="1:2" x14ac:dyDescent="0.35">
      <c r="A153">
        <v>1</v>
      </c>
      <c r="B153" s="12">
        <v>21</v>
      </c>
    </row>
    <row r="154" spans="1:2" x14ac:dyDescent="0.35">
      <c r="A154">
        <v>2</v>
      </c>
      <c r="B154" s="12">
        <v>127</v>
      </c>
    </row>
    <row r="155" spans="1:2" x14ac:dyDescent="0.35">
      <c r="A155">
        <v>3</v>
      </c>
      <c r="B155" s="12">
        <v>495</v>
      </c>
    </row>
    <row r="156" spans="1:2" x14ac:dyDescent="0.35">
      <c r="A156">
        <v>4</v>
      </c>
      <c r="B156" s="12">
        <v>1036</v>
      </c>
    </row>
    <row r="157" spans="1:2" x14ac:dyDescent="0.35">
      <c r="A157">
        <v>5</v>
      </c>
      <c r="B157" s="12">
        <v>721</v>
      </c>
    </row>
    <row r="158" spans="1:2" x14ac:dyDescent="0.35">
      <c r="A158" t="s">
        <v>2556</v>
      </c>
      <c r="B158" s="12">
        <v>2400</v>
      </c>
    </row>
  </sheetData>
  <conditionalFormatting sqref="I29:L33">
    <cfRule type="colorScale" priority="1">
      <colorScale>
        <cfvo type="min"/>
        <cfvo type="percentile" val="50"/>
        <cfvo type="max"/>
        <color rgb="FFF8696B"/>
        <color rgb="FFFCFCFF"/>
        <color rgb="FF5A8AC6"/>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Dashboard</vt:lpstr>
      <vt:lpstr>Questions &amp; KPIs</vt:lpstr>
      <vt:lpstr>Logo &amp; Colors</vt:lpstr>
      <vt:lpstr>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Yaswanth Reddy</cp:lastModifiedBy>
  <dcterms:created xsi:type="dcterms:W3CDTF">2025-06-13T02:42:26Z</dcterms:created>
  <dcterms:modified xsi:type="dcterms:W3CDTF">2025-12-17T08:42:23Z</dcterms:modified>
</cp:coreProperties>
</file>